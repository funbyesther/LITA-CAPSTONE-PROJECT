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9.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PC User\Documents\"/>
    </mc:Choice>
  </mc:AlternateContent>
  <bookViews>
    <workbookView minimized="1" xWindow="480" yWindow="345" windowWidth="15855" windowHeight="8895" firstSheet="5" activeTab="9"/>
  </bookViews>
  <sheets>
    <sheet name="Sheet1" sheetId="3" r:id="rId1"/>
    <sheet name="QUE3." sheetId="6" r:id="rId2"/>
    <sheet name="QUE2" sheetId="12" r:id="rId3"/>
    <sheet name="QUE4" sheetId="5" r:id="rId4"/>
    <sheet name="QUE5" sheetId="7" r:id="rId5"/>
    <sheet name="QUE 6" sheetId="8" r:id="rId6"/>
    <sheet name="QUE7" sheetId="9" r:id="rId7"/>
    <sheet name="QUE9." sheetId="10" r:id="rId8"/>
    <sheet name="Sheet12" sheetId="14" r:id="rId9"/>
    <sheet name="Review Questions" sheetId="2" r:id="rId10"/>
    <sheet name="QUE8" sheetId="15" r:id="rId11"/>
    <sheet name="QUE10" sheetId="16" r:id="rId12"/>
    <sheet name="banklist Data" sheetId="1" r:id="rId13"/>
    <sheet name="DASHBOARD" sheetId="13" r:id="rId14"/>
    <sheet name="Sheet15" sheetId="17" r:id="rId15"/>
  </sheets>
  <externalReferences>
    <externalReference r:id="rId16"/>
  </externalReferences>
  <definedNames>
    <definedName name="Slicer_Closing_Date">#N/A</definedName>
    <definedName name="Slicer_DAYS_OF_THE_WEEK">#N/A</definedName>
    <definedName name="Slicer_FIRST_LETTER_OF_CITY">#N/A</definedName>
    <definedName name="Slicer_Quarters">#N/A</definedName>
    <definedName name="Slicer_Years">#N/A</definedName>
  </definedNames>
  <calcPr calcId="162913"/>
  <pivotCaches>
    <pivotCache cacheId="42" r:id="rId17"/>
    <pivotCache cacheId="45" r:id="rId18"/>
    <pivotCache cacheId="48" r:id="rId19"/>
  </pivotCaches>
  <extLst>
    <ext xmlns:x14="http://schemas.microsoft.com/office/spreadsheetml/2009/9/main" uri="{BBE1A952-AA13-448e-AADC-164F8A28A991}">
      <x14:slicerCaches>
        <x14:slicerCache r:id="rId20"/>
        <x14:slicerCache r:id="rId21"/>
        <x14:slicerCache r:id="rId22"/>
        <x14:slicerCache r:id="rId23"/>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G2" i="1" l="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alcChain>
</file>

<file path=xl/sharedStrings.xml><?xml version="1.0" encoding="utf-8"?>
<sst xmlns="http://schemas.openxmlformats.org/spreadsheetml/2006/main" count="714" uniqueCount="457">
  <si>
    <t>Bank Name</t>
  </si>
  <si>
    <t>City</t>
  </si>
  <si>
    <t>State</t>
  </si>
  <si>
    <t>CERT #</t>
  </si>
  <si>
    <t>Closing Date</t>
  </si>
  <si>
    <t>Updated Date</t>
  </si>
  <si>
    <t>Barnes Banking Company</t>
  </si>
  <si>
    <t>Kaysville</t>
  </si>
  <si>
    <t>UT</t>
  </si>
  <si>
    <t>St. Stephen State Bank</t>
  </si>
  <si>
    <t>St. Stephen</t>
  </si>
  <si>
    <t>MN</t>
  </si>
  <si>
    <t>Town Community Bank &amp; Trust</t>
  </si>
  <si>
    <t>Antioch</t>
  </si>
  <si>
    <t>IL</t>
  </si>
  <si>
    <t>Horizon Bank</t>
  </si>
  <si>
    <t>Bellingham</t>
  </si>
  <si>
    <t>WA</t>
  </si>
  <si>
    <t>First Federal Bank of California, F.S.B.</t>
  </si>
  <si>
    <t>Santa Monica</t>
  </si>
  <si>
    <t>CA</t>
  </si>
  <si>
    <t>Imperial Capital Bank</t>
  </si>
  <si>
    <t>La Jolla</t>
  </si>
  <si>
    <t>Independent Bankers' Bank</t>
  </si>
  <si>
    <t>Springfield</t>
  </si>
  <si>
    <t>New South Federal Savings Bank</t>
  </si>
  <si>
    <t>Irondale</t>
  </si>
  <si>
    <t>AL</t>
  </si>
  <si>
    <t>Citizens State Bank</t>
  </si>
  <si>
    <t>New Baltimore</t>
  </si>
  <si>
    <t>MI</t>
  </si>
  <si>
    <t>Peoples First Community Bank</t>
  </si>
  <si>
    <t>Panama City</t>
  </si>
  <si>
    <t>FL</t>
  </si>
  <si>
    <t>RockBridge Commercial Bank</t>
  </si>
  <si>
    <t>Atlanta</t>
  </si>
  <si>
    <t>GA</t>
  </si>
  <si>
    <t>SolutionsBank</t>
  </si>
  <si>
    <t>Overland Park</t>
  </si>
  <si>
    <t>KS</t>
  </si>
  <si>
    <t>Valley Capital Bank, N.A.</t>
  </si>
  <si>
    <t>Mesa</t>
  </si>
  <si>
    <t>AZ</t>
  </si>
  <si>
    <t>Republic Federal Bank, N.A.</t>
  </si>
  <si>
    <t>Miami</t>
  </si>
  <si>
    <t>Greater Atlantic Bank</t>
  </si>
  <si>
    <t>Reston</t>
  </si>
  <si>
    <t>VA</t>
  </si>
  <si>
    <t>Benchmark Bank</t>
  </si>
  <si>
    <t>Aurora</t>
  </si>
  <si>
    <t>AmTrust Bank</t>
  </si>
  <si>
    <t>Cleveland</t>
  </si>
  <si>
    <t>OH</t>
  </si>
  <si>
    <t>The Tattnall Bank</t>
  </si>
  <si>
    <t>Reidsville</t>
  </si>
  <si>
    <t>First Security National Bank</t>
  </si>
  <si>
    <t>Norcross</t>
  </si>
  <si>
    <t>The Buckhead Community Bank</t>
  </si>
  <si>
    <t>Commerce Bank of Southwest Florida</t>
  </si>
  <si>
    <t>Fort Myers</t>
  </si>
  <si>
    <t>Pacific Coast National Bank</t>
  </si>
  <si>
    <t>San Clemente</t>
  </si>
  <si>
    <t>Orion Bank</t>
  </si>
  <si>
    <t>Naples</t>
  </si>
  <si>
    <t>Century Bank, F.S.B.</t>
  </si>
  <si>
    <t>Sarasota</t>
  </si>
  <si>
    <t>United Commercial Bank</t>
  </si>
  <si>
    <t>San Francisco</t>
  </si>
  <si>
    <t>Gateway Bank of St. Louis</t>
  </si>
  <si>
    <t>St. Louis</t>
  </si>
  <si>
    <t>MO</t>
  </si>
  <si>
    <t>Prosperan Bank</t>
  </si>
  <si>
    <t>Oakdale</t>
  </si>
  <si>
    <t>Home Federal Savings Bank</t>
  </si>
  <si>
    <t>Detroit</t>
  </si>
  <si>
    <t>United Security Bank</t>
  </si>
  <si>
    <t>Sparta</t>
  </si>
  <si>
    <t>North Houston Bank</t>
  </si>
  <si>
    <t>Houston</t>
  </si>
  <si>
    <t>TX</t>
  </si>
  <si>
    <t>Madisonville State Bank</t>
  </si>
  <si>
    <t>Madisonville</t>
  </si>
  <si>
    <t>Citizens National Bank</t>
  </si>
  <si>
    <t>Teague</t>
  </si>
  <si>
    <t>Park National Bank</t>
  </si>
  <si>
    <t>Chicago</t>
  </si>
  <si>
    <t>Pacific National Bank</t>
  </si>
  <si>
    <t>California National Bank</t>
  </si>
  <si>
    <t>Los Angeles</t>
  </si>
  <si>
    <t>San Diego National Bank</t>
  </si>
  <si>
    <t>San Diego</t>
  </si>
  <si>
    <t>Community Bank of Lemont</t>
  </si>
  <si>
    <t>Lemont</t>
  </si>
  <si>
    <t>Bank USA, N.A.</t>
  </si>
  <si>
    <t>Phoenix</t>
  </si>
  <si>
    <t>First DuPage Bank</t>
  </si>
  <si>
    <t>Westmont</t>
  </si>
  <si>
    <t>Riverview Community Bank</t>
  </si>
  <si>
    <t>Otsego</t>
  </si>
  <si>
    <t>Bank of Elmwood</t>
  </si>
  <si>
    <t>Racine</t>
  </si>
  <si>
    <t>WI</t>
  </si>
  <si>
    <t>Flagship National Bank</t>
  </si>
  <si>
    <t>Bradenton</t>
  </si>
  <si>
    <t>Hillcrest Bank Florida</t>
  </si>
  <si>
    <t>American United Bank</t>
  </si>
  <si>
    <t>Lawrenceville</t>
  </si>
  <si>
    <t>Partners Bank</t>
  </si>
  <si>
    <t>San Joaquin Bank</t>
  </si>
  <si>
    <t>Bakersfield</t>
  </si>
  <si>
    <t>Southern Colorado National Bank</t>
  </si>
  <si>
    <t>Pueblo</t>
  </si>
  <si>
    <t>CO</t>
  </si>
  <si>
    <t>Jennings State Bank</t>
  </si>
  <si>
    <t>Spring Grove</t>
  </si>
  <si>
    <t>Warren Bank</t>
  </si>
  <si>
    <t>Warren</t>
  </si>
  <si>
    <t>Georgian Bank</t>
  </si>
  <si>
    <t>Irwin Union Bank, F.S.B.</t>
  </si>
  <si>
    <t>Louisville</t>
  </si>
  <si>
    <t>KY</t>
  </si>
  <si>
    <t>Irwin Union Bank and Trust Company</t>
  </si>
  <si>
    <t>Columbus</t>
  </si>
  <si>
    <t>IN</t>
  </si>
  <si>
    <t>Venture Bank</t>
  </si>
  <si>
    <t>Lacey</t>
  </si>
  <si>
    <t>Brickwell Community Bank</t>
  </si>
  <si>
    <t>Woodbury</t>
  </si>
  <si>
    <t>Corus Bank, N.A.</t>
  </si>
  <si>
    <t>First State Bank</t>
  </si>
  <si>
    <t>Flagstaff</t>
  </si>
  <si>
    <t>Platinum Community Bank</t>
  </si>
  <si>
    <t>Rolling Meadows</t>
  </si>
  <si>
    <t>Vantus Bank</t>
  </si>
  <si>
    <t>Sioux City</t>
  </si>
  <si>
    <t>IA</t>
  </si>
  <si>
    <t>InBank</t>
  </si>
  <si>
    <t>Oak Forest</t>
  </si>
  <si>
    <t>First Bank of Kansas City</t>
  </si>
  <si>
    <t>Kansas City</t>
  </si>
  <si>
    <t>Affinity Bank</t>
  </si>
  <si>
    <t>Ventura</t>
  </si>
  <si>
    <t>Mainstreet Bank</t>
  </si>
  <si>
    <t>Forest Lake</t>
  </si>
  <si>
    <t>Bradford Bank</t>
  </si>
  <si>
    <t>Baltimore</t>
  </si>
  <si>
    <t>MD</t>
  </si>
  <si>
    <t>Guaranty Bank</t>
  </si>
  <si>
    <t>Austin</t>
  </si>
  <si>
    <t>CapitalSouth Bank</t>
  </si>
  <si>
    <t>Birmingham</t>
  </si>
  <si>
    <t>First Coweta Bank</t>
  </si>
  <si>
    <t>Newnan</t>
  </si>
  <si>
    <t>ebank</t>
  </si>
  <si>
    <t>Community Bank of Nevada</t>
  </si>
  <si>
    <t>Las Vegas</t>
  </si>
  <si>
    <t>NV</t>
  </si>
  <si>
    <t>Community Bank of Arizona</t>
  </si>
  <si>
    <t>Union Bank, National Association</t>
  </si>
  <si>
    <t>Gilbert</t>
  </si>
  <si>
    <t>Colonial Bank</t>
  </si>
  <si>
    <t>Montgomery</t>
  </si>
  <si>
    <t>Dwelling House Savings and Loan Association</t>
  </si>
  <si>
    <t>Pittsburgh</t>
  </si>
  <si>
    <t>PA</t>
  </si>
  <si>
    <t>Community First Bank</t>
  </si>
  <si>
    <t>Prineville</t>
  </si>
  <si>
    <t>OR</t>
  </si>
  <si>
    <t>Community National Bank of Sarasota County</t>
  </si>
  <si>
    <t>Venice</t>
  </si>
  <si>
    <t>Mutual Bank</t>
  </si>
  <si>
    <t>Harvey</t>
  </si>
  <si>
    <t>First BankAmericano</t>
  </si>
  <si>
    <t>Elizabeth</t>
  </si>
  <si>
    <t>NJ</t>
  </si>
  <si>
    <t>Peoples Community Bank</t>
  </si>
  <si>
    <t>West Chester</t>
  </si>
  <si>
    <t>Integrity Bank</t>
  </si>
  <si>
    <t>Jupiter</t>
  </si>
  <si>
    <t>First State Bank of Altus</t>
  </si>
  <si>
    <t>Altus</t>
  </si>
  <si>
    <t>OK</t>
  </si>
  <si>
    <t>Security Bank of Jones County</t>
  </si>
  <si>
    <t>Gray</t>
  </si>
  <si>
    <t>Security Bank of Houston County</t>
  </si>
  <si>
    <t>Perry</t>
  </si>
  <si>
    <t>Security Bank of Bibb County</t>
  </si>
  <si>
    <t>Macon</t>
  </si>
  <si>
    <t>Security Bank of North Metro</t>
  </si>
  <si>
    <t>Woodstock</t>
  </si>
  <si>
    <t>Security Bank of North Fulton</t>
  </si>
  <si>
    <t>Alpharetta</t>
  </si>
  <si>
    <t>Security Bank of Gwinnett County</t>
  </si>
  <si>
    <t>Suwanee</t>
  </si>
  <si>
    <t>Waterford Village Bank</t>
  </si>
  <si>
    <t>Williamsville</t>
  </si>
  <si>
    <t>NY</t>
  </si>
  <si>
    <t>Temecula Valley Bank</t>
  </si>
  <si>
    <t>Temecula</t>
  </si>
  <si>
    <t>Vineyard Bank</t>
  </si>
  <si>
    <t>Rancho Cucamonga</t>
  </si>
  <si>
    <t>BankFirst</t>
  </si>
  <si>
    <t>Sioux Falls</t>
  </si>
  <si>
    <t>SD</t>
  </si>
  <si>
    <t>First Piedmont Bank</t>
  </si>
  <si>
    <t>Winder</t>
  </si>
  <si>
    <t>Bank of Wyoming</t>
  </si>
  <si>
    <t>Thermopolis</t>
  </si>
  <si>
    <t>WY</t>
  </si>
  <si>
    <t>Founders Bank</t>
  </si>
  <si>
    <t>Worth</t>
  </si>
  <si>
    <t>Millennium State Bank of Texas</t>
  </si>
  <si>
    <t>Dallas</t>
  </si>
  <si>
    <t>First National Bank of Danville</t>
  </si>
  <si>
    <t>Danville</t>
  </si>
  <si>
    <t>Elizabeth State Bank</t>
  </si>
  <si>
    <t>Rock River Bank</t>
  </si>
  <si>
    <t>Oregon</t>
  </si>
  <si>
    <t>First State Bank of Winchester</t>
  </si>
  <si>
    <t>Winchester</t>
  </si>
  <si>
    <t>John Warner Bank</t>
  </si>
  <si>
    <t>Clinton</t>
  </si>
  <si>
    <t>Mirae Bank</t>
  </si>
  <si>
    <t>MetroPacific Bank</t>
  </si>
  <si>
    <t>Irvine</t>
  </si>
  <si>
    <t>Pine City</t>
  </si>
  <si>
    <t>Neighborhood Community Bank</t>
  </si>
  <si>
    <t>Community Bank of West Georgia</t>
  </si>
  <si>
    <t>Villa Rica</t>
  </si>
  <si>
    <t>First National Bank of Anthony</t>
  </si>
  <si>
    <t>Anthony</t>
  </si>
  <si>
    <t>Cooperative Bank</t>
  </si>
  <si>
    <t>Wilmington</t>
  </si>
  <si>
    <t>NC</t>
  </si>
  <si>
    <t>Southern Community Bank</t>
  </si>
  <si>
    <t>Fayetteville</t>
  </si>
  <si>
    <t>Bank of Lincolnwood</t>
  </si>
  <si>
    <t>Lincolnwood</t>
  </si>
  <si>
    <t>Macomb</t>
  </si>
  <si>
    <t>Strategic Capital Bank</t>
  </si>
  <si>
    <t>Champaign</t>
  </si>
  <si>
    <t>BankUnited, FSB</t>
  </si>
  <si>
    <t>Coral Gables</t>
  </si>
  <si>
    <t>Westsound Bank</t>
  </si>
  <si>
    <t>Bremerton</t>
  </si>
  <si>
    <t>America West Bank</t>
  </si>
  <si>
    <t>Layton</t>
  </si>
  <si>
    <t>Citizens Community Bank</t>
  </si>
  <si>
    <t>Ridgewood</t>
  </si>
  <si>
    <t>Silverton Bank, NA</t>
  </si>
  <si>
    <t>First Bank of Idaho</t>
  </si>
  <si>
    <t>Ketchum</t>
  </si>
  <si>
    <t>ID</t>
  </si>
  <si>
    <t>First Bank of Beverly Hills</t>
  </si>
  <si>
    <t>Calabasas</t>
  </si>
  <si>
    <t>Michigan Heritage Bank</t>
  </si>
  <si>
    <t>Farmington Hills</t>
  </si>
  <si>
    <t>American Southern Bank</t>
  </si>
  <si>
    <t>Kennesaw</t>
  </si>
  <si>
    <t>Great Basin Bank of Nevada</t>
  </si>
  <si>
    <t>Elko</t>
  </si>
  <si>
    <t>American Sterling Bank</t>
  </si>
  <si>
    <t>Sugar Creek</t>
  </si>
  <si>
    <t>New Frontier Bank</t>
  </si>
  <si>
    <t>Greeley</t>
  </si>
  <si>
    <t>Cape Fear Bank</t>
  </si>
  <si>
    <t>Omni National Bank</t>
  </si>
  <si>
    <t>TeamBank, NA</t>
  </si>
  <si>
    <t>Paola</t>
  </si>
  <si>
    <t>Colorado National Bank</t>
  </si>
  <si>
    <t>Colorado Springs</t>
  </si>
  <si>
    <t>FirstCity Bank</t>
  </si>
  <si>
    <t>Stockbridge</t>
  </si>
  <si>
    <t>Freedom Bank of Georgia</t>
  </si>
  <si>
    <t>Commerce</t>
  </si>
  <si>
    <t>Security Savings Bank</t>
  </si>
  <si>
    <t>Henderson</t>
  </si>
  <si>
    <t>Heritage Community Bank</t>
  </si>
  <si>
    <t>Glenwood</t>
  </si>
  <si>
    <t>Silver Falls Bank</t>
  </si>
  <si>
    <t>Silverton</t>
  </si>
  <si>
    <t>Pinnacle Bank of Oregon</t>
  </si>
  <si>
    <t>Beaverton</t>
  </si>
  <si>
    <t>Corn Belt Bank &amp; Trust Co.</t>
  </si>
  <si>
    <t>Pittsfield</t>
  </si>
  <si>
    <t>Riverside Bank of the Gulf Coast</t>
  </si>
  <si>
    <t>Cape Coral</t>
  </si>
  <si>
    <t>Sherman County Bank</t>
  </si>
  <si>
    <t>Loup City</t>
  </si>
  <si>
    <t>NE</t>
  </si>
  <si>
    <t>County Bank</t>
  </si>
  <si>
    <t>Merced</t>
  </si>
  <si>
    <t>Alliance Bank</t>
  </si>
  <si>
    <t>Culver City</t>
  </si>
  <si>
    <t>FirstBank Financial Services</t>
  </si>
  <si>
    <t>McDonough</t>
  </si>
  <si>
    <t>Ocala National Bank</t>
  </si>
  <si>
    <t>Ocala</t>
  </si>
  <si>
    <t>Suburban FSB</t>
  </si>
  <si>
    <t>Crofton</t>
  </si>
  <si>
    <t>MagnetBank</t>
  </si>
  <si>
    <t>Salt Lake City</t>
  </si>
  <si>
    <t>1st Centennial Bank</t>
  </si>
  <si>
    <t>Redlands</t>
  </si>
  <si>
    <t>Bank of Clark County</t>
  </si>
  <si>
    <t>Vancouver</t>
  </si>
  <si>
    <t>National Bank of Commerce</t>
  </si>
  <si>
    <t>Berkeley</t>
  </si>
  <si>
    <t>Sanderson State Bank</t>
  </si>
  <si>
    <t>Sanderson</t>
  </si>
  <si>
    <t>Haven Trust Bank</t>
  </si>
  <si>
    <t>Duluth</t>
  </si>
  <si>
    <t>First Georgia Community Bank</t>
  </si>
  <si>
    <t>Jackson</t>
  </si>
  <si>
    <t xml:space="preserve">PFF Bank &amp; Trust </t>
  </si>
  <si>
    <t>Pomona</t>
  </si>
  <si>
    <t>Downey Savings &amp; Loan</t>
  </si>
  <si>
    <t>Newport Beach</t>
  </si>
  <si>
    <t>Community Bank</t>
  </si>
  <si>
    <t>Loganville</t>
  </si>
  <si>
    <t>Security Pacific Bank</t>
  </si>
  <si>
    <t>Franklin Bank, SSB</t>
  </si>
  <si>
    <t>Freedom Bank</t>
  </si>
  <si>
    <t>Alpha Bank &amp; Trust</t>
  </si>
  <si>
    <t>Meridian Bank</t>
  </si>
  <si>
    <t>Eldred</t>
  </si>
  <si>
    <t>Main Street Bank</t>
  </si>
  <si>
    <t>Northville</t>
  </si>
  <si>
    <t>Washington Mutual Bank</t>
  </si>
  <si>
    <t>Washington Mutual Bank FSB</t>
  </si>
  <si>
    <t>Park City</t>
  </si>
  <si>
    <t>Ameribank</t>
  </si>
  <si>
    <t>Northfork</t>
  </si>
  <si>
    <t>WV</t>
  </si>
  <si>
    <t>Silver State Bank</t>
  </si>
  <si>
    <t>Columbian Bank &amp; Trust</t>
  </si>
  <si>
    <t>Topeka</t>
  </si>
  <si>
    <t>First Priority Bank</t>
  </si>
  <si>
    <t>First Heritage Bank, NA</t>
  </si>
  <si>
    <t>First National Bank of Nevada</t>
  </si>
  <si>
    <t>Reno</t>
  </si>
  <si>
    <t>IndyMac Bank</t>
  </si>
  <si>
    <t>Pasadena</t>
  </si>
  <si>
    <t>First Integrity Bank, NA</t>
  </si>
  <si>
    <t>Staples</t>
  </si>
  <si>
    <t>ANB Financial, NA</t>
  </si>
  <si>
    <t>Bentonville</t>
  </si>
  <si>
    <t>AR</t>
  </si>
  <si>
    <t>Hume Bank</t>
  </si>
  <si>
    <t>Hume</t>
  </si>
  <si>
    <t>Douglass National Bank</t>
  </si>
  <si>
    <t>Miami Valley Bank</t>
  </si>
  <si>
    <t>Lakeview</t>
  </si>
  <si>
    <t>NetBank</t>
  </si>
  <si>
    <t>Metropolitan Savings Bank</t>
  </si>
  <si>
    <t>Bank of Ephraim</t>
  </si>
  <si>
    <t>Ephraim</t>
  </si>
  <si>
    <t>Reliance Bank</t>
  </si>
  <si>
    <t>White Plains</t>
  </si>
  <si>
    <t>Guaranty National Bank of Tallahassee</t>
  </si>
  <si>
    <t>Tallahassee</t>
  </si>
  <si>
    <t>Dollar Savings Bank</t>
  </si>
  <si>
    <t>Newark</t>
  </si>
  <si>
    <t>Pulaski Savings Bank</t>
  </si>
  <si>
    <t>Philadelphia</t>
  </si>
  <si>
    <t>First National Bank of Blanchardville</t>
  </si>
  <si>
    <t>Blanchardville</t>
  </si>
  <si>
    <t>Southern Pacific Bank</t>
  </si>
  <si>
    <t>Torrance</t>
  </si>
  <si>
    <t>Farmers Bank of Cheneyville</t>
  </si>
  <si>
    <t>Cheneyville</t>
  </si>
  <si>
    <t>LA</t>
  </si>
  <si>
    <t>Bank of Alamo</t>
  </si>
  <si>
    <t>Alamo</t>
  </si>
  <si>
    <t>TN</t>
  </si>
  <si>
    <t>AmTrade International Bank</t>
  </si>
  <si>
    <t>Universal Federal Savings Bank</t>
  </si>
  <si>
    <t>Connecticut Bank of Commerce</t>
  </si>
  <si>
    <t>Stamford</t>
  </si>
  <si>
    <t>CT</t>
  </si>
  <si>
    <t>New Century Bank</t>
  </si>
  <si>
    <t>Shelby Township</t>
  </si>
  <si>
    <t>Net 1st National Bank</t>
  </si>
  <si>
    <t>Boca Raton</t>
  </si>
  <si>
    <t>NextBank, NA</t>
  </si>
  <si>
    <t>Oakwood Deposit Bank Co.</t>
  </si>
  <si>
    <t>Oakwood</t>
  </si>
  <si>
    <t>Bank of Sierra Blanca</t>
  </si>
  <si>
    <t>Sierra Blanca</t>
  </si>
  <si>
    <t>Hamilton Bank, NA</t>
  </si>
  <si>
    <t>Sinclair National Bank</t>
  </si>
  <si>
    <t>Gravette</t>
  </si>
  <si>
    <t>Superior Bank, FSB</t>
  </si>
  <si>
    <t>Hinsdale</t>
  </si>
  <si>
    <t>Malta National Bank</t>
  </si>
  <si>
    <t>Malta</t>
  </si>
  <si>
    <t>First Alliance Bank &amp; Trust Co.</t>
  </si>
  <si>
    <t>Manchester</t>
  </si>
  <si>
    <t>NH</t>
  </si>
  <si>
    <t>National State Bank of Metropolis</t>
  </si>
  <si>
    <t>Metropolis</t>
  </si>
  <si>
    <t>Bank of Honolulu</t>
  </si>
  <si>
    <t>Honolulu</t>
  </si>
  <si>
    <t>HI</t>
  </si>
  <si>
    <t>Item</t>
  </si>
  <si>
    <t>Question</t>
  </si>
  <si>
    <t>Prepare a list of the number of bank closings in each year.</t>
  </si>
  <si>
    <t>What quarter of the year had the largest number of closings &amp; how many?</t>
  </si>
  <si>
    <t>What state had the largest number of closings &amp; how many?</t>
  </si>
  <si>
    <t>Prepare a trend line chart comparing closings for 2008 &amp; 2009, by month.</t>
  </si>
  <si>
    <t>What percent of bank closings occurred in 2009?</t>
  </si>
  <si>
    <t>How many banks closed in cities beginning with the letter B?</t>
  </si>
  <si>
    <t>Prepare a list, descending in quantity order, by first letter of city.  Show % of total as well on the list.</t>
  </si>
  <si>
    <t>Prepare a pie chart indicating closings by quarter (regardless of year).</t>
  </si>
  <si>
    <t>What percent of banks closed on a Friday?</t>
  </si>
  <si>
    <t>Hint (if necessary)</t>
  </si>
  <si>
    <t>What city (within a state) had the largest number of closings &amp; how many?</t>
  </si>
  <si>
    <t>Separate data field req'd</t>
  </si>
  <si>
    <t>Bank Closings List (www.data.gov)</t>
  </si>
  <si>
    <t>Analysis Project</t>
  </si>
  <si>
    <t>Bonus</t>
  </si>
  <si>
    <t xml:space="preserve">Same as Q 10, but show day data in a user friendly day text (e.g., "Fri"). </t>
  </si>
  <si>
    <t>Refer to Q 2</t>
  </si>
  <si>
    <t>1 &amp; 2 can go together</t>
  </si>
  <si>
    <t>Date Cmpltd</t>
  </si>
  <si>
    <t>Grand Total</t>
  </si>
  <si>
    <t>Quarters</t>
  </si>
  <si>
    <t>Count of Closing Date</t>
  </si>
  <si>
    <t>Total</t>
  </si>
  <si>
    <t>Years</t>
  </si>
  <si>
    <t>HOW MANY BANKS CLOSED IN CITY STARTING WITH B</t>
  </si>
  <si>
    <t>FIRST LETTER OF CITY</t>
  </si>
  <si>
    <t>A</t>
  </si>
  <si>
    <t>B</t>
  </si>
  <si>
    <t>C</t>
  </si>
  <si>
    <t>D</t>
  </si>
  <si>
    <t>E</t>
  </si>
  <si>
    <t>F</t>
  </si>
  <si>
    <t>G</t>
  </si>
  <si>
    <t>H</t>
  </si>
  <si>
    <t>I</t>
  </si>
  <si>
    <t>J</t>
  </si>
  <si>
    <t>K</t>
  </si>
  <si>
    <t>L</t>
  </si>
  <si>
    <t>M</t>
  </si>
  <si>
    <t>N</t>
  </si>
  <si>
    <t>O</t>
  </si>
  <si>
    <t>P</t>
  </si>
  <si>
    <t>R</t>
  </si>
  <si>
    <t>S</t>
  </si>
  <si>
    <t>T</t>
  </si>
  <si>
    <t>V</t>
  </si>
  <si>
    <t>W</t>
  </si>
  <si>
    <t>Count of FIRST LETTER OF CITY</t>
  </si>
  <si>
    <t>DAYS OF THE WEEK</t>
  </si>
  <si>
    <t>Mon</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</si>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</sst>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1" formatCode="_(* #,##0_);_(* \(#,##0\);_(* &quot;-&quot;_);_(@_)"/>
    <numFmt numFmtId="164" formatCode="mm/dd/yy;@"/>
  </numFmts>
  <fonts count="24" x14ac:knownFonts="1">
    <font>
      <sz val="10"/>
      <color theme="1"/>
      <name val="Arial"/>
      <family val="2"/>
    </font>
    <font>
      <sz val="10"/>
      <name val="Arial"/>
      <family val="2"/>
    </font>
    <font>
      <b/>
      <sz val="10"/>
      <name val="Arial"/>
      <family val="2"/>
    </font>
    <font>
      <b/>
      <sz val="12"/>
      <name val="Arial"/>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u/>
      <sz val="10"/>
      <color theme="10"/>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u/>
      <sz val="14"/>
      <color theme="10"/>
      <name val="Arial"/>
      <family val="2"/>
    </font>
    <font>
      <b/>
      <u/>
      <sz val="12"/>
      <color theme="10"/>
      <name val="Arial"/>
      <family val="2"/>
    </font>
  </fonts>
  <fills count="33">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s>
  <borders count="25">
    <border>
      <left/>
      <right/>
      <top/>
      <bottom/>
      <diagonal/>
    </border>
    <border>
      <left/>
      <right/>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right/>
      <top/>
      <bottom style="hair">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theme="6" tint="-0.24994659260841701"/>
      </left>
      <right style="thick">
        <color theme="6" tint="-0.24994659260841701"/>
      </right>
      <top style="thick">
        <color theme="6" tint="-0.24994659260841701"/>
      </top>
      <bottom style="hair">
        <color indexed="64"/>
      </bottom>
      <diagonal/>
    </border>
    <border>
      <left style="thick">
        <color theme="6" tint="-0.24994659260841701"/>
      </left>
      <right style="thick">
        <color theme="6" tint="-0.24994659260841701"/>
      </right>
      <top style="hair">
        <color indexed="64"/>
      </top>
      <bottom style="hair">
        <color indexed="64"/>
      </bottom>
      <diagonal/>
    </border>
    <border>
      <left style="thick">
        <color theme="6" tint="-0.24994659260841701"/>
      </left>
      <right style="thick">
        <color theme="6" tint="-0.24994659260841701"/>
      </right>
      <top style="hair">
        <color indexed="64"/>
      </top>
      <bottom style="thick">
        <color theme="6" tint="-0.24994659260841701"/>
      </bottom>
      <diagonal/>
    </border>
    <border>
      <left style="thin">
        <color rgb="FF999999"/>
      </left>
      <right/>
      <top style="thin">
        <color rgb="FF999999"/>
      </top>
      <bottom/>
      <diagonal/>
    </border>
    <border>
      <left style="thin">
        <color indexed="65"/>
      </left>
      <right/>
      <top style="thin">
        <color rgb="FF999999"/>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style="thin">
        <color rgb="FF999999"/>
      </top>
      <bottom style="thin">
        <color rgb="FF999999"/>
      </bottom>
      <diagonal/>
    </border>
    <border>
      <left style="thin">
        <color rgb="FF999999"/>
      </left>
      <right/>
      <top/>
      <bottom/>
      <diagonal/>
    </border>
    <border>
      <left style="thin">
        <color rgb="FF999999"/>
      </left>
      <right style="thin">
        <color rgb="FF999999"/>
      </right>
      <top/>
      <bottom/>
      <diagonal/>
    </border>
    <border>
      <left style="thin">
        <color indexed="65"/>
      </left>
      <right/>
      <top style="thin">
        <color rgb="FF999999"/>
      </top>
      <bottom style="thin">
        <color rgb="FF999999"/>
      </bottom>
      <diagonal/>
    </border>
  </borders>
  <cellStyleXfs count="44">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6" fillId="26" borderId="0" applyNumberFormat="0" applyBorder="0" applyAlignment="0" applyProtection="0"/>
    <xf numFmtId="0" fontId="7" fillId="27" borderId="5" applyNumberFormat="0" applyAlignment="0" applyProtection="0"/>
    <xf numFmtId="0" fontId="8" fillId="28" borderId="6" applyNumberFormat="0" applyAlignment="0" applyProtection="0"/>
    <xf numFmtId="0" fontId="9" fillId="0" borderId="0" applyNumberFormat="0" applyFill="0" applyBorder="0" applyAlignment="0" applyProtection="0"/>
    <xf numFmtId="0" fontId="10" fillId="29" borderId="0" applyNumberFormat="0" applyBorder="0" applyAlignment="0" applyProtection="0"/>
    <xf numFmtId="0" fontId="11" fillId="0" borderId="7" applyNumberFormat="0" applyFill="0" applyAlignment="0" applyProtection="0"/>
    <xf numFmtId="0" fontId="12" fillId="0" borderId="8" applyNumberFormat="0" applyFill="0" applyAlignment="0" applyProtection="0"/>
    <xf numFmtId="0" fontId="13" fillId="0" borderId="9" applyNumberFormat="0" applyFill="0" applyAlignment="0" applyProtection="0"/>
    <xf numFmtId="0" fontId="13" fillId="0" borderId="0" applyNumberFormat="0" applyFill="0" applyBorder="0" applyAlignment="0" applyProtection="0"/>
    <xf numFmtId="0" fontId="14" fillId="0" borderId="0" applyNumberFormat="0" applyFill="0" applyBorder="0" applyAlignment="0" applyProtection="0">
      <alignment vertical="top"/>
      <protection locked="0"/>
    </xf>
    <xf numFmtId="0" fontId="15" fillId="30" borderId="5" applyNumberFormat="0" applyAlignment="0" applyProtection="0"/>
    <xf numFmtId="0" fontId="16" fillId="0" borderId="10" applyNumberFormat="0" applyFill="0" applyAlignment="0" applyProtection="0"/>
    <xf numFmtId="0" fontId="17" fillId="31" borderId="0" applyNumberFormat="0" applyBorder="0" applyAlignment="0" applyProtection="0"/>
    <xf numFmtId="41" fontId="1" fillId="0" borderId="0"/>
    <xf numFmtId="0" fontId="4" fillId="32" borderId="11" applyNumberFormat="0" applyFont="0" applyAlignment="0" applyProtection="0"/>
    <xf numFmtId="0" fontId="18" fillId="27" borderId="12" applyNumberFormat="0" applyAlignment="0" applyProtection="0"/>
    <xf numFmtId="0" fontId="19" fillId="0" borderId="0" applyNumberFormat="0" applyFill="0" applyBorder="0" applyAlignment="0" applyProtection="0"/>
    <xf numFmtId="0" fontId="20" fillId="0" borderId="13" applyNumberFormat="0" applyFill="0" applyAlignment="0" applyProtection="0"/>
    <xf numFmtId="0" fontId="21" fillId="0" borderId="0" applyNumberFormat="0" applyFill="0" applyBorder="0" applyAlignment="0" applyProtection="0"/>
  </cellStyleXfs>
  <cellXfs count="40">
    <xf numFmtId="0" fontId="0" fillId="0" borderId="0" xfId="0"/>
    <xf numFmtId="15" fontId="0" fillId="0" borderId="0" xfId="0" applyNumberFormat="1"/>
    <xf numFmtId="41" fontId="1" fillId="0" borderId="0" xfId="38"/>
    <xf numFmtId="41" fontId="2" fillId="0" borderId="1" xfId="38" applyFont="1" applyBorder="1"/>
    <xf numFmtId="37" fontId="2" fillId="0" borderId="1" xfId="38" applyNumberFormat="1" applyFont="1" applyBorder="1" applyAlignment="1">
      <alignment horizontal="center"/>
    </xf>
    <xf numFmtId="37" fontId="1" fillId="0" borderId="0" xfId="38" applyNumberFormat="1" applyAlignment="1">
      <alignment horizontal="center"/>
    </xf>
    <xf numFmtId="0" fontId="20" fillId="0" borderId="1" xfId="0" applyFont="1" applyBorder="1"/>
    <xf numFmtId="41" fontId="2" fillId="0" borderId="1" xfId="38" quotePrefix="1" applyFont="1" applyBorder="1" applyAlignment="1">
      <alignment horizontal="left"/>
    </xf>
    <xf numFmtId="37" fontId="3" fillId="0" borderId="0" xfId="38" applyNumberFormat="1" applyFont="1" applyAlignment="1"/>
    <xf numFmtId="37" fontId="1" fillId="0" borderId="2" xfId="38" applyNumberFormat="1" applyBorder="1" applyAlignment="1">
      <alignment horizontal="center"/>
    </xf>
    <xf numFmtId="41" fontId="1" fillId="0" borderId="2" xfId="38" applyBorder="1"/>
    <xf numFmtId="37" fontId="1" fillId="0" borderId="3" xfId="38" applyNumberFormat="1" applyBorder="1" applyAlignment="1">
      <alignment horizontal="center"/>
    </xf>
    <xf numFmtId="41" fontId="1" fillId="0" borderId="3" xfId="38" applyBorder="1"/>
    <xf numFmtId="41" fontId="1" fillId="0" borderId="3" xfId="38" quotePrefix="1" applyBorder="1" applyAlignment="1">
      <alignment horizontal="left"/>
    </xf>
    <xf numFmtId="41" fontId="1" fillId="0" borderId="3" xfId="38" applyBorder="1" applyAlignment="1">
      <alignment horizontal="left"/>
    </xf>
    <xf numFmtId="41" fontId="1" fillId="0" borderId="4" xfId="38" applyBorder="1"/>
    <xf numFmtId="41" fontId="1" fillId="0" borderId="0" xfId="38" applyAlignment="1">
      <alignment horizontal="center"/>
    </xf>
    <xf numFmtId="41" fontId="2" fillId="0" borderId="0" xfId="38" applyFont="1" applyBorder="1" applyAlignment="1" applyProtection="1">
      <alignment horizontal="center"/>
      <protection locked="0"/>
    </xf>
    <xf numFmtId="164" fontId="1" fillId="0" borderId="14" xfId="38" applyNumberFormat="1" applyBorder="1" applyAlignment="1" applyProtection="1">
      <alignment horizontal="center"/>
      <protection locked="0"/>
    </xf>
    <xf numFmtId="164" fontId="1" fillId="0" borderId="15" xfId="38" applyNumberFormat="1" applyBorder="1" applyAlignment="1" applyProtection="1">
      <alignment horizontal="center"/>
      <protection locked="0"/>
    </xf>
    <xf numFmtId="164" fontId="1" fillId="0" borderId="16" xfId="38" applyNumberFormat="1" applyBorder="1" applyAlignment="1" applyProtection="1">
      <alignment horizontal="center"/>
      <protection locked="0"/>
    </xf>
    <xf numFmtId="41" fontId="14" fillId="0" borderId="0" xfId="34" quotePrefix="1" applyNumberFormat="1" applyAlignment="1" applyProtection="1">
      <alignment horizontal="left"/>
    </xf>
    <xf numFmtId="0" fontId="22" fillId="0" borderId="0" xfId="34" quotePrefix="1" applyFont="1" applyAlignment="1" applyProtection="1">
      <alignment horizontal="left"/>
    </xf>
    <xf numFmtId="0" fontId="0" fillId="0" borderId="17" xfId="0" applyBorder="1"/>
    <xf numFmtId="0" fontId="0" fillId="0" borderId="18" xfId="0" applyBorder="1"/>
    <xf numFmtId="0" fontId="0" fillId="0" borderId="17" xfId="0" pivotButton="1" applyBorder="1"/>
    <xf numFmtId="0" fontId="0" fillId="0" borderId="19" xfId="0" applyBorder="1"/>
    <xf numFmtId="0" fontId="0" fillId="0" borderId="20" xfId="0" applyBorder="1"/>
    <xf numFmtId="0" fontId="0" fillId="0" borderId="20" xfId="0" applyNumberFormat="1" applyBorder="1"/>
    <xf numFmtId="0" fontId="0" fillId="0" borderId="21" xfId="0" applyNumberFormat="1" applyBorder="1"/>
    <xf numFmtId="0" fontId="0" fillId="0" borderId="22" xfId="0" applyBorder="1"/>
    <xf numFmtId="0" fontId="0" fillId="0" borderId="23" xfId="0" applyNumberFormat="1" applyBorder="1"/>
    <xf numFmtId="0" fontId="0" fillId="0" borderId="24" xfId="0" applyBorder="1"/>
    <xf numFmtId="10" fontId="0" fillId="0" borderId="20" xfId="0" applyNumberFormat="1" applyBorder="1"/>
    <xf numFmtId="10" fontId="0" fillId="0" borderId="23" xfId="0" applyNumberFormat="1" applyBorder="1"/>
    <xf numFmtId="10" fontId="0" fillId="0" borderId="21" xfId="0" applyNumberFormat="1" applyBorder="1"/>
    <xf numFmtId="0" fontId="20" fillId="0" borderId="0" xfId="0" applyFont="1" applyFill="1" applyBorder="1"/>
    <xf numFmtId="37" fontId="23" fillId="0" borderId="0" xfId="34" applyNumberFormat="1" applyFont="1" applyAlignment="1" applyProtection="1"/>
    <xf numFmtId="37" fontId="3" fillId="0" borderId="0" xfId="38" applyNumberFormat="1" applyFont="1" applyAlignment="1"/>
    <xf numFmtId="0" fontId="0" fillId="0" borderId="20" xfId="0" pivotButton="1" applyBorder="1"/>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2" xfId="38"/>
    <cellStyle name="Note" xfId="39" builtinId="10" customBuiltin="1"/>
    <cellStyle name="Output" xfId="40" builtinId="21" customBuiltin="1"/>
    <cellStyle name="Title" xfId="41" builtinId="15" customBuiltin="1"/>
    <cellStyle name="Total" xfId="42" builtinId="25" customBuiltin="1"/>
    <cellStyle name="Warning Text" xfId="43"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microsoft.com/office/2007/relationships/slicerCache" Target="slicerCaches/slicerCach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4.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3.xml"/><Relationship Id="rId27"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Project - Exercise 1 (Banklist).xlsm]QUE 6!PivotTable4</c:name>
    <c:fmtId val="2"/>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cked"/>
        <c:varyColors val="0"/>
        <c:ser>
          <c:idx val="0"/>
          <c:order val="0"/>
          <c:tx>
            <c:strRef>
              <c:f>'QUE 6'!$B$3:$B$4</c:f>
              <c:strCache>
                <c:ptCount val="1"/>
                <c:pt idx="0">
                  <c:v>Grand 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'QUE 6'!$A$5</c:f>
              <c:strCache>
                <c:ptCount val="1"/>
                <c:pt idx="0">
                  <c:v>Grand Total</c:v>
                </c:pt>
              </c:strCache>
            </c:strRef>
          </c:cat>
          <c:val>
            <c:numRef>
              <c:f>'QUE 6'!$B$5</c:f>
              <c:numCache>
                <c:formatCode>General</c:formatCode>
                <c:ptCount val="1"/>
              </c:numCache>
            </c:numRef>
          </c:val>
          <c:smooth val="0"/>
          <c:extLst>
            <c:ext xmlns:c16="http://schemas.microsoft.com/office/drawing/2014/chart" uri="{C3380CC4-5D6E-409C-BE32-E72D297353CC}">
              <c16:uniqueId val="{00000000-0E3A-44D7-9370-75D239671863}"/>
            </c:ext>
          </c:extLst>
        </c:ser>
        <c:dLbls>
          <c:showLegendKey val="0"/>
          <c:showVal val="0"/>
          <c:showCatName val="0"/>
          <c:showSerName val="0"/>
          <c:showPercent val="0"/>
          <c:showBubbleSize val="0"/>
        </c:dLbls>
        <c:marker val="1"/>
        <c:smooth val="0"/>
        <c:axId val="1430292160"/>
        <c:axId val="1430286336"/>
      </c:lineChart>
      <c:catAx>
        <c:axId val="1430292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0286336"/>
        <c:crosses val="autoZero"/>
        <c:auto val="1"/>
        <c:lblAlgn val="ctr"/>
        <c:lblOffset val="100"/>
        <c:noMultiLvlLbl val="0"/>
      </c:catAx>
      <c:valAx>
        <c:axId val="1430286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0292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Project - Exercise 1 (Banklist).xlsm]QUE9.!PivotTable6</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'QUE9.'!$B$3:$B$4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268-4FFA-9F57-C3BE4AC4478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268-4FFA-9F57-C3BE4AC4478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268-4FFA-9F57-C3BE4AC4478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268-4FFA-9F57-C3BE4AC4478A}"/>
              </c:ext>
            </c:extLst>
          </c:dPt>
          <c:cat>
            <c:strRef>
              <c:f>'QUE9.'!$A$5</c:f>
              <c:strCache>
                <c:ptCount val="1"/>
                <c:pt idx="0">
                  <c:v>Grand Total</c:v>
                </c:pt>
              </c:strCache>
            </c:strRef>
          </c:cat>
          <c:val>
            <c:numRef>
              <c:f>'QUE9.'!$B$5</c:f>
              <c:numCache>
                <c:formatCode>General</c:formatCode>
                <c:ptCount val="1"/>
              </c:numCache>
            </c:numRef>
          </c:val>
          <c:extLst>
            <c:ext xmlns:c16="http://schemas.microsoft.com/office/drawing/2014/chart" uri="{C3380CC4-5D6E-409C-BE32-E72D297353CC}">
              <c16:uniqueId val="{00000000-E29D-4E86-BADB-C23F8564FC8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Project - Exercise 1 (Banklist).xlsm]Sheet12!PivotTable9</c:name>
    <c:fmtId val="1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Sheet12!$B$3:$B$4</c:f>
              <c:strCache>
                <c:ptCount val="1"/>
                <c:pt idx="0">
                  <c:v>Total</c:v>
                </c:pt>
              </c:strCache>
            </c:strRef>
          </c:tx>
          <c:spPr>
            <a:solidFill>
              <a:schemeClr val="accent1"/>
            </a:solidFill>
            <a:ln>
              <a:noFill/>
            </a:ln>
            <a:effectLst/>
            <a:sp3d/>
          </c:spPr>
          <c:invertIfNegative val="0"/>
          <c:cat>
            <c:strRef>
              <c:f>Sheet12!$A$5:$A$26</c:f>
              <c:strCache>
                <c:ptCount val="21"/>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R</c:v>
                </c:pt>
                <c:pt idx="17">
                  <c:v>S</c:v>
                </c:pt>
                <c:pt idx="18">
                  <c:v>T</c:v>
                </c:pt>
                <c:pt idx="19">
                  <c:v>V</c:v>
                </c:pt>
                <c:pt idx="20">
                  <c:v>W</c:v>
                </c:pt>
              </c:strCache>
            </c:strRef>
          </c:cat>
          <c:val>
            <c:numRef>
              <c:f>Sheet12!$B$5:$B$26</c:f>
              <c:numCache>
                <c:formatCode>General</c:formatCode>
                <c:ptCount val="21"/>
                <c:pt idx="0">
                  <c:v>17</c:v>
                </c:pt>
                <c:pt idx="1">
                  <c:v>13</c:v>
                </c:pt>
                <c:pt idx="2">
                  <c:v>15</c:v>
                </c:pt>
                <c:pt idx="3">
                  <c:v>4</c:v>
                </c:pt>
                <c:pt idx="4">
                  <c:v>5</c:v>
                </c:pt>
                <c:pt idx="5">
                  <c:v>5</c:v>
                </c:pt>
                <c:pt idx="6">
                  <c:v>5</c:v>
                </c:pt>
                <c:pt idx="7">
                  <c:v>9</c:v>
                </c:pt>
                <c:pt idx="8">
                  <c:v>2</c:v>
                </c:pt>
                <c:pt idx="9">
                  <c:v>2</c:v>
                </c:pt>
                <c:pt idx="10">
                  <c:v>5</c:v>
                </c:pt>
                <c:pt idx="11">
                  <c:v>14</c:v>
                </c:pt>
                <c:pt idx="12">
                  <c:v>12</c:v>
                </c:pt>
                <c:pt idx="13">
                  <c:v>12</c:v>
                </c:pt>
                <c:pt idx="14">
                  <c:v>7</c:v>
                </c:pt>
                <c:pt idx="15">
                  <c:v>16</c:v>
                </c:pt>
                <c:pt idx="16">
                  <c:v>8</c:v>
                </c:pt>
                <c:pt idx="17">
                  <c:v>24</c:v>
                </c:pt>
                <c:pt idx="18">
                  <c:v>6</c:v>
                </c:pt>
                <c:pt idx="19">
                  <c:v>4</c:v>
                </c:pt>
                <c:pt idx="20">
                  <c:v>12</c:v>
                </c:pt>
              </c:numCache>
            </c:numRef>
          </c:val>
          <c:extLst>
            <c:ext xmlns:c16="http://schemas.microsoft.com/office/drawing/2014/chart" uri="{C3380CC4-5D6E-409C-BE32-E72D297353CC}">
              <c16:uniqueId val="{00000000-432E-4414-A278-63EFE36B4765}"/>
            </c:ext>
          </c:extLst>
        </c:ser>
        <c:dLbls>
          <c:showLegendKey val="0"/>
          <c:showVal val="0"/>
          <c:showCatName val="0"/>
          <c:showSerName val="0"/>
          <c:showPercent val="0"/>
          <c:showBubbleSize val="0"/>
        </c:dLbls>
        <c:gapWidth val="150"/>
        <c:shape val="box"/>
        <c:axId val="1715789200"/>
        <c:axId val="1715800016"/>
        <c:axId val="0"/>
      </c:bar3DChart>
      <c:catAx>
        <c:axId val="17157892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5800016"/>
        <c:crosses val="autoZero"/>
        <c:auto val="1"/>
        <c:lblAlgn val="ctr"/>
        <c:lblOffset val="100"/>
        <c:noMultiLvlLbl val="0"/>
      </c:catAx>
      <c:valAx>
        <c:axId val="1715800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5789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Project - Exercise 1 (Banklist).xlsm]QUE10!PivotTable11</c:name>
    <c:fmtId val="13"/>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'QUE10'!$B$3:$B$4</c:f>
              <c:strCache>
                <c:ptCount val="1"/>
                <c:pt idx="0">
                  <c:v>Total</c:v>
                </c:pt>
              </c:strCache>
            </c:strRef>
          </c:tx>
          <c:spPr>
            <a:solidFill>
              <a:schemeClr val="accent1"/>
            </a:solidFill>
            <a:ln>
              <a:noFill/>
            </a:ln>
            <a:effectLst/>
            <a:sp3d/>
          </c:spPr>
          <c:invertIfNegative val="0"/>
          <c:cat>
            <c:strRef>
              <c:f>'QUE10'!$A$5:$A$6</c:f>
              <c:strCache>
                <c:ptCount val="1"/>
                <c:pt idx="0">
                  <c:v>Mon</c:v>
                </c:pt>
              </c:strCache>
            </c:strRef>
          </c:cat>
          <c:val>
            <c:numRef>
              <c:f>'QUE10'!$B$5:$B$6</c:f>
              <c:numCache>
                <c:formatCode>0.00%</c:formatCode>
                <c:ptCount val="1"/>
                <c:pt idx="0">
                  <c:v>1</c:v>
                </c:pt>
              </c:numCache>
            </c:numRef>
          </c:val>
          <c:extLst>
            <c:ext xmlns:c16="http://schemas.microsoft.com/office/drawing/2014/chart" uri="{C3380CC4-5D6E-409C-BE32-E72D297353CC}">
              <c16:uniqueId val="{00000000-B2BF-49BF-B740-E066475F5CDF}"/>
            </c:ext>
          </c:extLst>
        </c:ser>
        <c:dLbls>
          <c:showLegendKey val="0"/>
          <c:showVal val="0"/>
          <c:showCatName val="0"/>
          <c:showSerName val="0"/>
          <c:showPercent val="0"/>
          <c:showBubbleSize val="0"/>
        </c:dLbls>
        <c:gapWidth val="150"/>
        <c:shape val="box"/>
        <c:axId val="1715793776"/>
        <c:axId val="1715786704"/>
        <c:axId val="0"/>
      </c:bar3DChart>
      <c:catAx>
        <c:axId val="17157937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5786704"/>
        <c:crosses val="autoZero"/>
        <c:auto val="1"/>
        <c:lblAlgn val="ctr"/>
        <c:lblOffset val="100"/>
        <c:noMultiLvlLbl val="0"/>
      </c:catAx>
      <c:valAx>
        <c:axId val="1715786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57937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Project - Exercise 1 (Banklist).xlsm]QUE 6!PivotTable4</c:name>
    <c:fmtId val="4"/>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'QUE 6'!$B$3:$B$4</c:f>
              <c:strCache>
                <c:ptCount val="1"/>
                <c:pt idx="0">
                  <c:v>Grand 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'QUE 6'!$A$5</c:f>
              <c:strCache>
                <c:ptCount val="1"/>
                <c:pt idx="0">
                  <c:v>Grand Total</c:v>
                </c:pt>
              </c:strCache>
            </c:strRef>
          </c:cat>
          <c:val>
            <c:numRef>
              <c:f>'QUE 6'!$B$5</c:f>
              <c:numCache>
                <c:formatCode>General</c:formatCode>
                <c:ptCount val="1"/>
              </c:numCache>
            </c:numRef>
          </c:val>
          <c:smooth val="0"/>
          <c:extLst>
            <c:ext xmlns:c16="http://schemas.microsoft.com/office/drawing/2014/chart" uri="{C3380CC4-5D6E-409C-BE32-E72D297353CC}">
              <c16:uniqueId val="{00000000-2D78-40F5-A1E8-C758434565AA}"/>
            </c:ext>
          </c:extLst>
        </c:ser>
        <c:dLbls>
          <c:showLegendKey val="0"/>
          <c:showVal val="0"/>
          <c:showCatName val="0"/>
          <c:showSerName val="0"/>
          <c:showPercent val="0"/>
          <c:showBubbleSize val="0"/>
        </c:dLbls>
        <c:marker val="1"/>
        <c:smooth val="0"/>
        <c:axId val="1430292160"/>
        <c:axId val="1430286336"/>
      </c:lineChart>
      <c:catAx>
        <c:axId val="1430292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0286336"/>
        <c:crosses val="autoZero"/>
        <c:auto val="1"/>
        <c:lblAlgn val="ctr"/>
        <c:lblOffset val="100"/>
        <c:noMultiLvlLbl val="0"/>
      </c:catAx>
      <c:valAx>
        <c:axId val="1430286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029216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Project - Exercise 1 (Banklist).xlsm]QUE9.!PivotTable6</c:name>
    <c:fmtId val="7"/>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'QUE9.'!$B$3:$B$4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6D-4E9D-A460-BFA7479D62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6D-4E9D-A460-BFA7479D62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6D-4E9D-A460-BFA7479D62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6D-4E9D-A460-BFA7479D6234}"/>
              </c:ext>
            </c:extLst>
          </c:dPt>
          <c:cat>
            <c:strRef>
              <c:f>'QUE9.'!$A$5</c:f>
              <c:strCache>
                <c:ptCount val="1"/>
                <c:pt idx="0">
                  <c:v>Grand Total</c:v>
                </c:pt>
              </c:strCache>
            </c:strRef>
          </c:cat>
          <c:val>
            <c:numRef>
              <c:f>'QUE9.'!$B$5</c:f>
              <c:numCache>
                <c:formatCode>General</c:formatCode>
                <c:ptCount val="1"/>
              </c:numCache>
            </c:numRef>
          </c:val>
          <c:extLst>
            <c:ext xmlns:c16="http://schemas.microsoft.com/office/drawing/2014/chart" uri="{C3380CC4-5D6E-409C-BE32-E72D297353CC}">
              <c16:uniqueId val="{00000008-226D-4E9D-A460-BFA7479D6234}"/>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Project - Exercise 1 (Banklist).xlsm]QUE10!PivotTable11</c:name>
    <c:fmtId val="15"/>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'QUE10'!$B$3:$B$4</c:f>
              <c:strCache>
                <c:ptCount val="1"/>
                <c:pt idx="0">
                  <c:v>Total</c:v>
                </c:pt>
              </c:strCache>
            </c:strRef>
          </c:tx>
          <c:spPr>
            <a:solidFill>
              <a:schemeClr val="accent1"/>
            </a:solidFill>
            <a:ln>
              <a:noFill/>
            </a:ln>
            <a:effectLst/>
            <a:sp3d/>
          </c:spPr>
          <c:invertIfNegative val="0"/>
          <c:cat>
            <c:strRef>
              <c:f>'QUE10'!$A$5:$A$6</c:f>
              <c:strCache>
                <c:ptCount val="1"/>
                <c:pt idx="0">
                  <c:v>Mon</c:v>
                </c:pt>
              </c:strCache>
            </c:strRef>
          </c:cat>
          <c:val>
            <c:numRef>
              <c:f>'QUE10'!$B$5:$B$6</c:f>
              <c:numCache>
                <c:formatCode>0.00%</c:formatCode>
                <c:ptCount val="1"/>
                <c:pt idx="0">
                  <c:v>1</c:v>
                </c:pt>
              </c:numCache>
            </c:numRef>
          </c:val>
          <c:extLst>
            <c:ext xmlns:c16="http://schemas.microsoft.com/office/drawing/2014/chart" uri="{C3380CC4-5D6E-409C-BE32-E72D297353CC}">
              <c16:uniqueId val="{00000000-360F-4E77-B9F7-41332F6911D1}"/>
            </c:ext>
          </c:extLst>
        </c:ser>
        <c:dLbls>
          <c:showLegendKey val="0"/>
          <c:showVal val="0"/>
          <c:showCatName val="0"/>
          <c:showSerName val="0"/>
          <c:showPercent val="0"/>
          <c:showBubbleSize val="0"/>
        </c:dLbls>
        <c:gapWidth val="150"/>
        <c:shape val="box"/>
        <c:axId val="1715793776"/>
        <c:axId val="1715786704"/>
        <c:axId val="0"/>
      </c:bar3DChart>
      <c:catAx>
        <c:axId val="17157937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5786704"/>
        <c:crosses val="autoZero"/>
        <c:auto val="1"/>
        <c:lblAlgn val="ctr"/>
        <c:lblOffset val="100"/>
        <c:noMultiLvlLbl val="0"/>
      </c:catAx>
      <c:valAx>
        <c:axId val="1715786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57937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Project - Exercise 1 (Banklist).xlsm]Sheet12!PivotTable9</c:name>
    <c:fmtId val="16"/>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Sheet12!$B$3:$B$4</c:f>
              <c:strCache>
                <c:ptCount val="1"/>
                <c:pt idx="0">
                  <c:v>Total</c:v>
                </c:pt>
              </c:strCache>
            </c:strRef>
          </c:tx>
          <c:spPr>
            <a:solidFill>
              <a:schemeClr val="accent1"/>
            </a:solidFill>
            <a:ln>
              <a:noFill/>
            </a:ln>
            <a:effectLst/>
            <a:sp3d/>
          </c:spPr>
          <c:invertIfNegative val="0"/>
          <c:cat>
            <c:strRef>
              <c:f>Sheet12!$A$5:$A$26</c:f>
              <c:strCache>
                <c:ptCount val="21"/>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R</c:v>
                </c:pt>
                <c:pt idx="17">
                  <c:v>S</c:v>
                </c:pt>
                <c:pt idx="18">
                  <c:v>T</c:v>
                </c:pt>
                <c:pt idx="19">
                  <c:v>V</c:v>
                </c:pt>
                <c:pt idx="20">
                  <c:v>W</c:v>
                </c:pt>
              </c:strCache>
            </c:strRef>
          </c:cat>
          <c:val>
            <c:numRef>
              <c:f>Sheet12!$B$5:$B$26</c:f>
              <c:numCache>
                <c:formatCode>General</c:formatCode>
                <c:ptCount val="21"/>
                <c:pt idx="0">
                  <c:v>17</c:v>
                </c:pt>
                <c:pt idx="1">
                  <c:v>13</c:v>
                </c:pt>
                <c:pt idx="2">
                  <c:v>15</c:v>
                </c:pt>
                <c:pt idx="3">
                  <c:v>4</c:v>
                </c:pt>
                <c:pt idx="4">
                  <c:v>5</c:v>
                </c:pt>
                <c:pt idx="5">
                  <c:v>5</c:v>
                </c:pt>
                <c:pt idx="6">
                  <c:v>5</c:v>
                </c:pt>
                <c:pt idx="7">
                  <c:v>9</c:v>
                </c:pt>
                <c:pt idx="8">
                  <c:v>2</c:v>
                </c:pt>
                <c:pt idx="9">
                  <c:v>2</c:v>
                </c:pt>
                <c:pt idx="10">
                  <c:v>5</c:v>
                </c:pt>
                <c:pt idx="11">
                  <c:v>14</c:v>
                </c:pt>
                <c:pt idx="12">
                  <c:v>12</c:v>
                </c:pt>
                <c:pt idx="13">
                  <c:v>12</c:v>
                </c:pt>
                <c:pt idx="14">
                  <c:v>7</c:v>
                </c:pt>
                <c:pt idx="15">
                  <c:v>16</c:v>
                </c:pt>
                <c:pt idx="16">
                  <c:v>8</c:v>
                </c:pt>
                <c:pt idx="17">
                  <c:v>24</c:v>
                </c:pt>
                <c:pt idx="18">
                  <c:v>6</c:v>
                </c:pt>
                <c:pt idx="19">
                  <c:v>4</c:v>
                </c:pt>
                <c:pt idx="20">
                  <c:v>12</c:v>
                </c:pt>
              </c:numCache>
            </c:numRef>
          </c:val>
          <c:extLst>
            <c:ext xmlns:c16="http://schemas.microsoft.com/office/drawing/2014/chart" uri="{C3380CC4-5D6E-409C-BE32-E72D297353CC}">
              <c16:uniqueId val="{00000000-3B51-4ED5-896A-A0B04611759A}"/>
            </c:ext>
          </c:extLst>
        </c:ser>
        <c:dLbls>
          <c:showLegendKey val="0"/>
          <c:showVal val="0"/>
          <c:showCatName val="0"/>
          <c:showSerName val="0"/>
          <c:showPercent val="0"/>
          <c:showBubbleSize val="0"/>
        </c:dLbls>
        <c:gapWidth val="150"/>
        <c:shape val="box"/>
        <c:axId val="1715789200"/>
        <c:axId val="1715800016"/>
        <c:axId val="0"/>
      </c:bar3DChart>
      <c:catAx>
        <c:axId val="17157892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5800016"/>
        <c:crosses val="autoZero"/>
        <c:auto val="1"/>
        <c:lblAlgn val="ctr"/>
        <c:lblOffset val="100"/>
        <c:noMultiLvlLbl val="0"/>
      </c:catAx>
      <c:valAx>
        <c:axId val="1715800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578920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4</xdr:col>
      <xdr:colOff>490537</xdr:colOff>
      <xdr:row>4</xdr:row>
      <xdr:rowOff>147637</xdr:rowOff>
    </xdr:from>
    <xdr:to>
      <xdr:col>22</xdr:col>
      <xdr:colOff>376237</xdr:colOff>
      <xdr:row>21</xdr:row>
      <xdr:rowOff>138112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585787</xdr:colOff>
      <xdr:row>5</xdr:row>
      <xdr:rowOff>109537</xdr:rowOff>
    </xdr:from>
    <xdr:to>
      <xdr:col>12</xdr:col>
      <xdr:colOff>280987</xdr:colOff>
      <xdr:row>22</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585787</xdr:colOff>
      <xdr:row>8</xdr:row>
      <xdr:rowOff>33337</xdr:rowOff>
    </xdr:from>
    <xdr:to>
      <xdr:col>10</xdr:col>
      <xdr:colOff>280987</xdr:colOff>
      <xdr:row>25</xdr:row>
      <xdr:rowOff>23812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xdr:colOff>
      <xdr:row>2</xdr:row>
      <xdr:rowOff>152401</xdr:rowOff>
    </xdr:from>
    <xdr:to>
      <xdr:col>2</xdr:col>
      <xdr:colOff>638175</xdr:colOff>
      <xdr:row>2</xdr:row>
      <xdr:rowOff>1981201</xdr:rowOff>
    </xdr:to>
    <xdr:sp macro="" textlink="">
      <xdr:nvSpPr>
        <xdr:cNvPr id="2" name="TextBox 1"/>
        <xdr:cNvSpPr txBox="1"/>
      </xdr:nvSpPr>
      <xdr:spPr>
        <a:xfrm>
          <a:off x="76200" y="552451"/>
          <a:ext cx="6810375" cy="1828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NOTE:</a:t>
          </a:r>
        </a:p>
        <a:p>
          <a:r>
            <a:rPr lang="en-US" sz="1100"/>
            <a:t>This data</a:t>
          </a:r>
          <a:r>
            <a:rPr lang="en-US" sz="1100" baseline="0"/>
            <a:t> mining exercise was designed to expose individuals to just a few of the advantages of leveraging pivot tables  in their daily workflow.  While most of these can be derived without the use of pivot tables, it would not be without a great deal of effort.    If the above 10 questions are successfully worked through, I believe that you  have achieved a fair level of knowledge &amp; understanding of how to apply pivot tables and data analysis thinking to common questions you could encounter.    </a:t>
          </a:r>
          <a:r>
            <a:rPr lang="en-US" sz="1100" b="1" baseline="0"/>
            <a:t>To complete the questions, prepare a separate sheet for each question.  It is expected that a pivot table will be generated to address each question (i.e., no calculations outside cells, etc. to derive answers).</a:t>
          </a:r>
          <a:endParaRPr lang="en-US" sz="1100" baseline="0"/>
        </a:p>
        <a:p>
          <a:endParaRPr lang="en-US" sz="1100" baseline="0"/>
        </a:p>
        <a:p>
          <a:r>
            <a:rPr lang="en-US" sz="1100" b="1" baseline="0"/>
            <a:t>Good luck!</a:t>
          </a:r>
          <a:endParaRPr lang="en-US" sz="1100" b="1"/>
        </a:p>
      </xdr:txBody>
    </xdr:sp>
    <xdr:clientData/>
  </xdr:twoCellAnchor>
  <xdr:twoCellAnchor editAs="absolute">
    <xdr:from>
      <xdr:col>4</xdr:col>
      <xdr:colOff>44450</xdr:colOff>
      <xdr:row>3</xdr:row>
      <xdr:rowOff>187325</xdr:rowOff>
    </xdr:from>
    <xdr:to>
      <xdr:col>4</xdr:col>
      <xdr:colOff>82550</xdr:colOff>
      <xdr:row>5</xdr:row>
      <xdr:rowOff>3175</xdr:rowOff>
    </xdr:to>
    <xdr:sp macro="[1]!DisplayCalendar" textlink="">
      <xdr:nvSpPr>
        <xdr:cNvPr id="4" name="Rectangle 3"/>
        <xdr:cNvSpPr/>
      </xdr:nvSpPr>
      <xdr:spPr>
        <a:xfrm>
          <a:off x="8636000" y="2768600"/>
          <a:ext cx="38100" cy="254000"/>
        </a:xfrm>
        <a:prstGeom prst="rect">
          <a:avLst/>
        </a:prstGeom>
        <a:blipFill>
          <a:blip xmlns:r="http://schemas.openxmlformats.org/officeDocument/2006/relationships" r:embed="rId1" cstate="prin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editAs="oneCell">
    <xdr:from>
      <xdr:col>2</xdr:col>
      <xdr:colOff>0</xdr:colOff>
      <xdr:row>0</xdr:row>
      <xdr:rowOff>0</xdr:rowOff>
    </xdr:from>
    <xdr:to>
      <xdr:col>3</xdr:col>
      <xdr:colOff>57150</xdr:colOff>
      <xdr:row>2</xdr:row>
      <xdr:rowOff>123825</xdr:rowOff>
    </xdr:to>
    <xdr:pic>
      <xdr:nvPicPr>
        <xdr:cNvPr id="2063" name="Picture 4" descr="SmallLogo_CroppedNoSubscript.jp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0"/>
          <a:ext cx="155257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44450</xdr:colOff>
      <xdr:row>3</xdr:row>
      <xdr:rowOff>187325</xdr:rowOff>
    </xdr:from>
    <xdr:to>
      <xdr:col>4</xdr:col>
      <xdr:colOff>82550</xdr:colOff>
      <xdr:row>5</xdr:row>
      <xdr:rowOff>3175</xdr:rowOff>
    </xdr:to>
    <xdr:sp macro="[1]!DisplayCalendar" textlink="">
      <xdr:nvSpPr>
        <xdr:cNvPr id="6" name="Rectangle 5"/>
        <xdr:cNvSpPr/>
      </xdr:nvSpPr>
      <xdr:spPr>
        <a:xfrm>
          <a:off x="8636000" y="2768600"/>
          <a:ext cx="38100" cy="254000"/>
        </a:xfrm>
        <a:prstGeom prst="rect">
          <a:avLst/>
        </a:prstGeom>
        <a:blipFill>
          <a:blip xmlns:r="http://schemas.openxmlformats.org/officeDocument/2006/relationships" r:embed="rId3" cstate="prin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4</xdr:col>
      <xdr:colOff>44450</xdr:colOff>
      <xdr:row>3</xdr:row>
      <xdr:rowOff>187325</xdr:rowOff>
    </xdr:from>
    <xdr:to>
      <xdr:col>4</xdr:col>
      <xdr:colOff>82550</xdr:colOff>
      <xdr:row>5</xdr:row>
      <xdr:rowOff>3175</xdr:rowOff>
    </xdr:to>
    <xdr:sp macro="[1]!DisplayCalendar" textlink="">
      <xdr:nvSpPr>
        <xdr:cNvPr id="7" name="Rectangle 6"/>
        <xdr:cNvSpPr/>
      </xdr:nvSpPr>
      <xdr:spPr>
        <a:xfrm>
          <a:off x="8636000" y="2768600"/>
          <a:ext cx="38100" cy="254000"/>
        </a:xfrm>
        <a:prstGeom prst="rect">
          <a:avLst/>
        </a:prstGeom>
        <a:blipFill>
          <a:blip xmlns:r="http://schemas.openxmlformats.org/officeDocument/2006/relationships" r:embed="rId3" cstate="prin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4</xdr:col>
      <xdr:colOff>44450</xdr:colOff>
      <xdr:row>3</xdr:row>
      <xdr:rowOff>187325</xdr:rowOff>
    </xdr:from>
    <xdr:to>
      <xdr:col>4</xdr:col>
      <xdr:colOff>82550</xdr:colOff>
      <xdr:row>5</xdr:row>
      <xdr:rowOff>3175</xdr:rowOff>
    </xdr:to>
    <xdr:sp macro="[1]!DisplayCalendar" textlink="">
      <xdr:nvSpPr>
        <xdr:cNvPr id="8" name="Rectangle 7"/>
        <xdr:cNvSpPr/>
      </xdr:nvSpPr>
      <xdr:spPr>
        <a:xfrm>
          <a:off x="8636000" y="2768600"/>
          <a:ext cx="38100" cy="254000"/>
        </a:xfrm>
        <a:prstGeom prst="rect">
          <a:avLst/>
        </a:prstGeom>
        <a:blipFill>
          <a:blip xmlns:r="http://schemas.openxmlformats.org/officeDocument/2006/relationships" r:embed="rId3" cstate="prin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223837</xdr:colOff>
      <xdr:row>8</xdr:row>
      <xdr:rowOff>33337</xdr:rowOff>
    </xdr:from>
    <xdr:to>
      <xdr:col>10</xdr:col>
      <xdr:colOff>528637</xdr:colOff>
      <xdr:row>25</xdr:row>
      <xdr:rowOff>23812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342900</xdr:colOff>
      <xdr:row>16</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419100</xdr:colOff>
      <xdr:row>0</xdr:row>
      <xdr:rowOff>0</xdr:rowOff>
    </xdr:from>
    <xdr:to>
      <xdr:col>15</xdr:col>
      <xdr:colOff>114300</xdr:colOff>
      <xdr:row>16</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17</xdr:row>
      <xdr:rowOff>0</xdr:rowOff>
    </xdr:from>
    <xdr:to>
      <xdr:col>7</xdr:col>
      <xdr:colOff>304800</xdr:colOff>
      <xdr:row>33</xdr:row>
      <xdr:rowOff>152400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361950</xdr:colOff>
      <xdr:row>16</xdr:row>
      <xdr:rowOff>142875</xdr:rowOff>
    </xdr:from>
    <xdr:to>
      <xdr:col>15</xdr:col>
      <xdr:colOff>57150</xdr:colOff>
      <xdr:row>33</xdr:row>
      <xdr:rowOff>133350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16</xdr:col>
      <xdr:colOff>371474</xdr:colOff>
      <xdr:row>0</xdr:row>
      <xdr:rowOff>0</xdr:rowOff>
    </xdr:from>
    <xdr:to>
      <xdr:col>18</xdr:col>
      <xdr:colOff>133349</xdr:colOff>
      <xdr:row>14</xdr:row>
      <xdr:rowOff>114300</xdr:rowOff>
    </xdr:to>
    <mc:AlternateContent xmlns:mc="http://schemas.openxmlformats.org/markup-compatibility/2006">
      <mc:Choice xmlns:a14="http://schemas.microsoft.com/office/drawing/2010/main" Requires="a14">
        <xdr:graphicFrame macro="">
          <xdr:nvGraphicFramePr>
            <xdr:cNvPr id="14" name="Closing Date"/>
            <xdr:cNvGraphicFramePr/>
          </xdr:nvGraphicFramePr>
          <xdr:xfrm>
            <a:off x="0" y="0"/>
            <a:ext cx="0" cy="0"/>
          </xdr:xfrm>
          <a:graphic>
            <a:graphicData uri="http://schemas.microsoft.com/office/drawing/2010/slicer">
              <sle:slicer xmlns:sle="http://schemas.microsoft.com/office/drawing/2010/slicer" name="Closing Date"/>
            </a:graphicData>
          </a:graphic>
        </xdr:graphicFrame>
      </mc:Choice>
      <mc:Fallback>
        <xdr:sp macro="" textlink="">
          <xdr:nvSpPr>
            <xdr:cNvPr id="0" name=""/>
            <xdr:cNvSpPr>
              <a:spLocks noTextEdit="1"/>
            </xdr:cNvSpPr>
          </xdr:nvSpPr>
          <xdr:spPr>
            <a:xfrm>
              <a:off x="10125074" y="0"/>
              <a:ext cx="981075"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142875</xdr:colOff>
      <xdr:row>0</xdr:row>
      <xdr:rowOff>0</xdr:rowOff>
    </xdr:from>
    <xdr:to>
      <xdr:col>16</xdr:col>
      <xdr:colOff>409575</xdr:colOff>
      <xdr:row>14</xdr:row>
      <xdr:rowOff>114300</xdr:rowOff>
    </xdr:to>
    <mc:AlternateContent xmlns:mc="http://schemas.openxmlformats.org/markup-compatibility/2006">
      <mc:Choice xmlns:a14="http://schemas.microsoft.com/office/drawing/2010/main" Requires="a14">
        <xdr:graphicFrame macro="">
          <xdr:nvGraphicFramePr>
            <xdr:cNvPr id="15" name="Quarters"/>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dr:sp macro="" textlink="">
          <xdr:nvSpPr>
            <xdr:cNvPr id="0" name=""/>
            <xdr:cNvSpPr>
              <a:spLocks noTextEdit="1"/>
            </xdr:cNvSpPr>
          </xdr:nvSpPr>
          <xdr:spPr>
            <a:xfrm>
              <a:off x="9286875" y="0"/>
              <a:ext cx="8763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133350</xdr:colOff>
      <xdr:row>0</xdr:row>
      <xdr:rowOff>38100</xdr:rowOff>
    </xdr:from>
    <xdr:to>
      <xdr:col>20</xdr:col>
      <xdr:colOff>171450</xdr:colOff>
      <xdr:row>14</xdr:row>
      <xdr:rowOff>152400</xdr:rowOff>
    </xdr:to>
    <mc:AlternateContent xmlns:mc="http://schemas.openxmlformats.org/markup-compatibility/2006">
      <mc:Choice xmlns:a14="http://schemas.microsoft.com/office/drawing/2010/main" Requires="a14">
        <xdr:graphicFrame macro="">
          <xdr:nvGraphicFramePr>
            <xdr:cNvPr id="17" name="Years"/>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11106150" y="38100"/>
              <a:ext cx="12573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161925</xdr:colOff>
      <xdr:row>14</xdr:row>
      <xdr:rowOff>95250</xdr:rowOff>
    </xdr:from>
    <xdr:to>
      <xdr:col>16</xdr:col>
      <xdr:colOff>533400</xdr:colOff>
      <xdr:row>29</xdr:row>
      <xdr:rowOff>47625</xdr:rowOff>
    </xdr:to>
    <mc:AlternateContent xmlns:mc="http://schemas.openxmlformats.org/markup-compatibility/2006">
      <mc:Choice xmlns:a14="http://schemas.microsoft.com/office/drawing/2010/main" Requires="a14">
        <xdr:graphicFrame macro="">
          <xdr:nvGraphicFramePr>
            <xdr:cNvPr id="18" name="DAYS OF THE WEEK"/>
            <xdr:cNvGraphicFramePr/>
          </xdr:nvGraphicFramePr>
          <xdr:xfrm>
            <a:off x="0" y="0"/>
            <a:ext cx="0" cy="0"/>
          </xdr:xfrm>
          <a:graphic>
            <a:graphicData uri="http://schemas.microsoft.com/office/drawing/2010/slicer">
              <sle:slicer xmlns:sle="http://schemas.microsoft.com/office/drawing/2010/slicer" name="DAYS OF THE WEEK"/>
            </a:graphicData>
          </a:graphic>
        </xdr:graphicFrame>
      </mc:Choice>
      <mc:Fallback>
        <xdr:sp macro="" textlink="">
          <xdr:nvSpPr>
            <xdr:cNvPr id="0" name=""/>
            <xdr:cNvSpPr>
              <a:spLocks noTextEdit="1"/>
            </xdr:cNvSpPr>
          </xdr:nvSpPr>
          <xdr:spPr>
            <a:xfrm>
              <a:off x="9305925" y="2362200"/>
              <a:ext cx="981075"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533400</xdr:colOff>
      <xdr:row>14</xdr:row>
      <xdr:rowOff>142875</xdr:rowOff>
    </xdr:from>
    <xdr:to>
      <xdr:col>18</xdr:col>
      <xdr:colOff>238125</xdr:colOff>
      <xdr:row>29</xdr:row>
      <xdr:rowOff>95250</xdr:rowOff>
    </xdr:to>
    <mc:AlternateContent xmlns:mc="http://schemas.openxmlformats.org/markup-compatibility/2006">
      <mc:Choice xmlns:a14="http://schemas.microsoft.com/office/drawing/2010/main" Requires="a14">
        <xdr:graphicFrame macro="">
          <xdr:nvGraphicFramePr>
            <xdr:cNvPr id="19" name="FIRST LETTER OF CITY"/>
            <xdr:cNvGraphicFramePr/>
          </xdr:nvGraphicFramePr>
          <xdr:xfrm>
            <a:off x="0" y="0"/>
            <a:ext cx="0" cy="0"/>
          </xdr:xfrm>
          <a:graphic>
            <a:graphicData uri="http://schemas.microsoft.com/office/drawing/2010/slicer">
              <sle:slicer xmlns:sle="http://schemas.microsoft.com/office/drawing/2010/slicer" name="FIRST LETTER OF CITY"/>
            </a:graphicData>
          </a:graphic>
        </xdr:graphicFrame>
      </mc:Choice>
      <mc:Fallback>
        <xdr:sp macro="" textlink="">
          <xdr:nvSpPr>
            <xdr:cNvPr id="0" name=""/>
            <xdr:cNvSpPr>
              <a:spLocks noTextEdit="1"/>
            </xdr:cNvSpPr>
          </xdr:nvSpPr>
          <xdr:spPr>
            <a:xfrm>
              <a:off x="10287000" y="2409825"/>
              <a:ext cx="923925"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samradDatePicker.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boData"/>
      <sheetName val="samradDatePicker"/>
    </sheetNames>
    <definedNames>
      <definedName name="DisplayCalendar"/>
    </definedNames>
    <sheetDataSet>
      <sheetData sheetId="0"/>
      <sheetData sheetId="1"/>
      <sheetData sheetId="2"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PC User" refreshedDate="44674.482868981482" createdVersion="6" refreshedVersion="6" recordCount="197">
  <cacheSource type="worksheet">
    <worksheetSource ref="A1:F198" sheet="banklist Data"/>
  </cacheSource>
  <cacheFields count="8">
    <cacheField name="Bank Name" numFmtId="0">
      <sharedItems count="193">
        <s v="Barnes Banking Company"/>
        <s v="St. Stephen State Bank"/>
        <s v="Town Community Bank &amp; Trust"/>
        <s v="Horizon Bank"/>
        <s v="First Federal Bank of California, F.S.B."/>
        <s v="Imperial Capital Bank"/>
        <s v="Independent Bankers' Bank"/>
        <s v="New South Federal Savings Bank"/>
        <s v="Citizens State Bank"/>
        <s v="Peoples First Community Bank"/>
        <s v="RockBridge Commercial Bank"/>
        <s v="SolutionsBank"/>
        <s v="Valley Capital Bank, N.A."/>
        <s v="Republic Federal Bank, N.A."/>
        <s v="Greater Atlantic Bank"/>
        <s v="Benchmark Bank"/>
        <s v="AmTrust Bank"/>
        <s v="The Tattnall Bank"/>
        <s v="First Security National Bank"/>
        <s v="The Buckhead Community Bank"/>
        <s v="Commerce Bank of Southwest Florida"/>
        <s v="Pacific Coast National Bank"/>
        <s v="Orion Bank"/>
        <s v="Century Bank, F.S.B."/>
        <s v="United Commercial Bank"/>
        <s v="Gateway Bank of St. Louis"/>
        <s v="Prosperan Bank"/>
        <s v="Home Federal Savings Bank"/>
        <s v="United Security Bank"/>
        <s v="North Houston Bank"/>
        <s v="Madisonville State Bank"/>
        <s v="Citizens National Bank"/>
        <s v="Park National Bank"/>
        <s v="Pacific National Bank"/>
        <s v="California National Bank"/>
        <s v="San Diego National Bank"/>
        <s v="Community Bank of Lemont"/>
        <s v="Bank USA, N.A."/>
        <s v="First DuPage Bank"/>
        <s v="Riverview Community Bank"/>
        <s v="Bank of Elmwood"/>
        <s v="Flagship National Bank"/>
        <s v="Hillcrest Bank Florida"/>
        <s v="American United Bank"/>
        <s v="Partners Bank"/>
        <s v="San Joaquin Bank"/>
        <s v="Southern Colorado National Bank"/>
        <s v="Jennings State Bank"/>
        <s v="Warren Bank"/>
        <s v="Georgian Bank"/>
        <s v="Irwin Union Bank, F.S.B."/>
        <s v="Irwin Union Bank and Trust Company"/>
        <s v="Venture Bank"/>
        <s v="Brickwell Community Bank"/>
        <s v="Corus Bank, N.A."/>
        <s v="First State Bank"/>
        <s v="Platinum Community Bank"/>
        <s v="Vantus Bank"/>
        <s v="InBank"/>
        <s v="First Bank of Kansas City"/>
        <s v="Affinity Bank"/>
        <s v="Mainstreet Bank"/>
        <s v="Bradford Bank"/>
        <s v="Guaranty Bank"/>
        <s v="CapitalSouth Bank"/>
        <s v="First Coweta Bank"/>
        <s v="ebank"/>
        <s v="Community Bank of Nevada"/>
        <s v="Community Bank of Arizona"/>
        <s v="Union Bank, National Association"/>
        <s v="Colonial Bank"/>
        <s v="Dwelling House Savings and Loan Association"/>
        <s v="Community First Bank"/>
        <s v="Community National Bank of Sarasota County"/>
        <s v="Mutual Bank"/>
        <s v="First BankAmericano"/>
        <s v="Peoples Community Bank"/>
        <s v="Integrity Bank"/>
        <s v="First State Bank of Altus"/>
        <s v="Security Bank of Jones County"/>
        <s v="Security Bank of Houston County"/>
        <s v="Security Bank of Bibb County"/>
        <s v="Security Bank of North Metro"/>
        <s v="Security Bank of North Fulton"/>
        <s v="Security Bank of Gwinnett County"/>
        <s v="Waterford Village Bank"/>
        <s v="Temecula Valley Bank"/>
        <s v="Vineyard Bank"/>
        <s v="BankFirst"/>
        <s v="First Piedmont Bank"/>
        <s v="Bank of Wyoming"/>
        <s v="Founders Bank"/>
        <s v="Millennium State Bank of Texas"/>
        <s v="First National Bank of Danville"/>
        <s v="Elizabeth State Bank"/>
        <s v="Rock River Bank"/>
        <s v="First State Bank of Winchester"/>
        <s v="John Warner Bank"/>
        <s v="Mirae Bank"/>
        <s v="MetroPacific Bank"/>
        <s v="Neighborhood Community Bank"/>
        <s v="Community Bank of West Georgia"/>
        <s v="First National Bank of Anthony"/>
        <s v="Cooperative Bank"/>
        <s v="Southern Community Bank"/>
        <s v="Bank of Lincolnwood"/>
        <s v="Strategic Capital Bank"/>
        <s v="BankUnited, FSB"/>
        <s v="Westsound Bank"/>
        <s v="America West Bank"/>
        <s v="Citizens Community Bank"/>
        <s v="Silverton Bank, NA"/>
        <s v="First Bank of Idaho"/>
        <s v="First Bank of Beverly Hills"/>
        <s v="Michigan Heritage Bank"/>
        <s v="American Southern Bank"/>
        <s v="Great Basin Bank of Nevada"/>
        <s v="American Sterling Bank"/>
        <s v="New Frontier Bank"/>
        <s v="Cape Fear Bank"/>
        <s v="Omni National Bank"/>
        <s v="TeamBank, NA"/>
        <s v="Colorado National Bank"/>
        <s v="FirstCity Bank"/>
        <s v="Freedom Bank of Georgia"/>
        <s v="Security Savings Bank"/>
        <s v="Heritage Community Bank"/>
        <s v="Silver Falls Bank"/>
        <s v="Pinnacle Bank of Oregon"/>
        <s v="Corn Belt Bank &amp; Trust Co."/>
        <s v="Riverside Bank of the Gulf Coast"/>
        <s v="Sherman County Bank"/>
        <s v="County Bank"/>
        <s v="Alliance Bank"/>
        <s v="FirstBank Financial Services"/>
        <s v="Ocala National Bank"/>
        <s v="Suburban FSB"/>
        <s v="MagnetBank"/>
        <s v="1st Centennial Bank"/>
        <s v="Bank of Clark County"/>
        <s v="National Bank of Commerce"/>
        <s v="Sanderson State Bank"/>
        <s v="Haven Trust Bank"/>
        <s v="First Georgia Community Bank"/>
        <s v="PFF Bank &amp; Trust "/>
        <s v="Downey Savings &amp; Loan"/>
        <s v="Community Bank"/>
        <s v="Security Pacific Bank"/>
        <s v="Franklin Bank, SSB"/>
        <s v="Freedom Bank"/>
        <s v="Alpha Bank &amp; Trust"/>
        <s v="Meridian Bank"/>
        <s v="Main Street Bank"/>
        <s v="Washington Mutual Bank"/>
        <s v="Washington Mutual Bank FSB"/>
        <s v="Ameribank"/>
        <s v="Silver State Bank"/>
        <s v="Columbian Bank &amp; Trust"/>
        <s v="First Priority Bank"/>
        <s v="First Heritage Bank, NA"/>
        <s v="First National Bank of Nevada"/>
        <s v="IndyMac Bank"/>
        <s v="First Integrity Bank, NA"/>
        <s v="ANB Financial, NA"/>
        <s v="Hume Bank"/>
        <s v="Douglass National Bank"/>
        <s v="Miami Valley Bank"/>
        <s v="NetBank"/>
        <s v="Metropolitan Savings Bank"/>
        <s v="Bank of Ephraim"/>
        <s v="Reliance Bank"/>
        <s v="Guaranty National Bank of Tallahassee"/>
        <s v="Dollar Savings Bank"/>
        <s v="Pulaski Savings Bank"/>
        <s v="First National Bank of Blanchardville"/>
        <s v="Southern Pacific Bank"/>
        <s v="Farmers Bank of Cheneyville"/>
        <s v="Bank of Alamo"/>
        <s v="AmTrade International Bank"/>
        <s v="Universal Federal Savings Bank"/>
        <s v="Connecticut Bank of Commerce"/>
        <s v="New Century Bank"/>
        <s v="Net 1st National Bank"/>
        <s v="NextBank, NA"/>
        <s v="Oakwood Deposit Bank Co."/>
        <s v="Bank of Sierra Blanca"/>
        <s v="Hamilton Bank, NA"/>
        <s v="Sinclair National Bank"/>
        <s v="Superior Bank, FSB"/>
        <s v="Malta National Bank"/>
        <s v="First Alliance Bank &amp; Trust Co."/>
        <s v="National State Bank of Metropolis"/>
        <s v="Bank of Honolulu"/>
      </sharedItems>
    </cacheField>
    <cacheField name="City" numFmtId="0">
      <sharedItems count="166">
        <s v="Kaysville"/>
        <s v="St. Stephen"/>
        <s v="Antioch"/>
        <s v="Bellingham"/>
        <s v="Santa Monica"/>
        <s v="La Jolla"/>
        <s v="Springfield"/>
        <s v="Irondale"/>
        <s v="New Baltimore"/>
        <s v="Panama City"/>
        <s v="Atlanta"/>
        <s v="Overland Park"/>
        <s v="Mesa"/>
        <s v="Miami"/>
        <s v="Reston"/>
        <s v="Aurora"/>
        <s v="Cleveland"/>
        <s v="Reidsville"/>
        <s v="Norcross"/>
        <s v="Fort Myers"/>
        <s v="San Clemente"/>
        <s v="Naples"/>
        <s v="Sarasota"/>
        <s v="San Francisco"/>
        <s v="St. Louis"/>
        <s v="Oakdale"/>
        <s v="Detroit"/>
        <s v="Sparta"/>
        <s v="Houston"/>
        <s v="Madisonville"/>
        <s v="Teague"/>
        <s v="Chicago"/>
        <s v="Los Angeles"/>
        <s v="San Diego"/>
        <s v="Lemont"/>
        <s v="Phoenix"/>
        <s v="Westmont"/>
        <s v="Otsego"/>
        <s v="Racine"/>
        <s v="Bradenton"/>
        <s v="Lawrenceville"/>
        <s v="Bakersfield"/>
        <s v="Pueblo"/>
        <s v="Spring Grove"/>
        <s v="Warren"/>
        <s v="Louisville"/>
        <s v="Columbus"/>
        <s v="Lacey"/>
        <s v="Woodbury"/>
        <s v="Flagstaff"/>
        <s v="Rolling Meadows"/>
        <s v="Sioux City"/>
        <s v="Oak Forest"/>
        <s v="Kansas City"/>
        <s v="Ventura"/>
        <s v="Forest Lake"/>
        <s v="Baltimore"/>
        <s v="Austin"/>
        <s v="Birmingham"/>
        <s v="Newnan"/>
        <s v="Las Vegas"/>
        <s v="Gilbert"/>
        <s v="Montgomery"/>
        <s v="Pittsburgh"/>
        <s v="Prineville"/>
        <s v="Venice"/>
        <s v="Harvey"/>
        <s v="Elizabeth"/>
        <s v="West Chester"/>
        <s v="Jupiter"/>
        <s v="Altus"/>
        <s v="Gray"/>
        <s v="Perry"/>
        <s v="Macon"/>
        <s v="Woodstock"/>
        <s v="Alpharetta"/>
        <s v="Suwanee"/>
        <s v="Williamsville"/>
        <s v="Temecula"/>
        <s v="Rancho Cucamonga"/>
        <s v="Sioux Falls"/>
        <s v="Winder"/>
        <s v="Thermopolis"/>
        <s v="Worth"/>
        <s v="Dallas"/>
        <s v="Danville"/>
        <s v="Oregon"/>
        <s v="Winchester"/>
        <s v="Clinton"/>
        <s v="Irvine"/>
        <s v="Pine City"/>
        <s v="Villa Rica"/>
        <s v="Anthony"/>
        <s v="Wilmington"/>
        <s v="Fayetteville"/>
        <s v="Lincolnwood"/>
        <s v="Macomb"/>
        <s v="Champaign"/>
        <s v="Coral Gables"/>
        <s v="Bremerton"/>
        <s v="Layton"/>
        <s v="Ridgewood"/>
        <s v="Ketchum"/>
        <s v="Calabasas"/>
        <s v="Farmington Hills"/>
        <s v="Kennesaw"/>
        <s v="Elko"/>
        <s v="Sugar Creek"/>
        <s v="Greeley"/>
        <s v="Paola"/>
        <s v="Colorado Springs"/>
        <s v="Stockbridge"/>
        <s v="Commerce"/>
        <s v="Henderson"/>
        <s v="Glenwood"/>
        <s v="Silverton"/>
        <s v="Beaverton"/>
        <s v="Pittsfield"/>
        <s v="Cape Coral"/>
        <s v="Loup City"/>
        <s v="Merced"/>
        <s v="Culver City"/>
        <s v="McDonough"/>
        <s v="Ocala"/>
        <s v="Crofton"/>
        <s v="Salt Lake City"/>
        <s v="Redlands"/>
        <s v="Vancouver"/>
        <s v="Berkeley"/>
        <s v="Sanderson"/>
        <s v="Duluth"/>
        <s v="Jackson"/>
        <s v="Pomona"/>
        <s v="Newport Beach"/>
        <s v="Loganville"/>
        <s v="Eldred"/>
        <s v="Northville"/>
        <s v="Park City"/>
        <s v="Northfork"/>
        <s v="Topeka"/>
        <s v="Reno"/>
        <s v="Pasadena"/>
        <s v="Staples"/>
        <s v="Bentonville"/>
        <s v="Hume"/>
        <s v="Lakeview"/>
        <s v="Ephraim"/>
        <s v="White Plains"/>
        <s v="Tallahassee"/>
        <s v="Newark"/>
        <s v="Philadelphia"/>
        <s v="Blanchardville"/>
        <s v="Torrance"/>
        <s v="Cheneyville"/>
        <s v="Alamo"/>
        <s v="Stamford"/>
        <s v="Shelby Township"/>
        <s v="Boca Raton"/>
        <s v="Oakwood"/>
        <s v="Sierra Blanca"/>
        <s v="Gravette"/>
        <s v="Hinsdale"/>
        <s v="Malta"/>
        <s v="Manchester"/>
        <s v="Metropolis"/>
        <s v="Honolulu"/>
      </sharedItems>
    </cacheField>
    <cacheField name="State" numFmtId="0">
      <sharedItems count="39">
        <s v="UT"/>
        <s v="MN"/>
        <s v="IL"/>
        <s v="WA"/>
        <s v="CA"/>
        <s v="AL"/>
        <s v="MI"/>
        <s v="FL"/>
        <s v="GA"/>
        <s v="KS"/>
        <s v="AZ"/>
        <s v="VA"/>
        <s v="OH"/>
        <s v="MO"/>
        <s v="TX"/>
        <s v="WI"/>
        <s v="CO"/>
        <s v="KY"/>
        <s v="IN"/>
        <s v="IA"/>
        <s v="MD"/>
        <s v="NV"/>
        <s v="PA"/>
        <s v="OR"/>
        <s v="NJ"/>
        <s v="OK"/>
        <s v="NY"/>
        <s v="SD"/>
        <s v="WY"/>
        <s v="NC"/>
        <s v="ID"/>
        <s v="NE"/>
        <s v="WV"/>
        <s v="AR"/>
        <s v="LA"/>
        <s v="TN"/>
        <s v="CT"/>
        <s v="NH"/>
        <s v="HI"/>
      </sharedItems>
    </cacheField>
    <cacheField name="CERT #" numFmtId="0">
      <sharedItems containsSemiMixedTypes="0" containsString="0" containsNumber="1" containsInteger="1" minValue="1006" maxValue="58399" count="196">
        <n v="1252"/>
        <n v="17522"/>
        <n v="34705"/>
        <n v="22977"/>
        <n v="28536"/>
        <n v="26348"/>
        <n v="26820"/>
        <n v="32276"/>
        <n v="1006"/>
        <n v="32167"/>
        <n v="58315"/>
        <n v="4731"/>
        <n v="58399"/>
        <n v="22846"/>
        <n v="32583"/>
        <n v="10440"/>
        <n v="29776"/>
        <n v="12080"/>
        <n v="26290"/>
        <n v="34663"/>
        <n v="58016"/>
        <n v="57914"/>
        <n v="22427"/>
        <n v="32267"/>
        <n v="32469"/>
        <n v="19450"/>
        <n v="35074"/>
        <n v="30329"/>
        <n v="22286"/>
        <n v="18776"/>
        <n v="33782"/>
        <n v="25222"/>
        <n v="11677"/>
        <n v="30006"/>
        <n v="34659"/>
        <n v="23594"/>
        <n v="35291"/>
        <n v="32218"/>
        <n v="35038"/>
        <n v="57525"/>
        <n v="18321"/>
        <n v="35044"/>
        <n v="58336"/>
        <n v="57794"/>
        <n v="57959"/>
        <n v="23266"/>
        <n v="57263"/>
        <n v="11416"/>
        <n v="34824"/>
        <n v="57151"/>
        <n v="57068"/>
        <n v="10100"/>
        <n v="22868"/>
        <n v="57736"/>
        <n v="13693"/>
        <n v="34875"/>
        <n v="35030"/>
        <n v="27732"/>
        <n v="20203"/>
        <n v="25231"/>
        <n v="27197"/>
        <n v="1909"/>
        <n v="28312"/>
        <n v="32618"/>
        <n v="22130"/>
        <n v="57702"/>
        <n v="34682"/>
        <n v="34043"/>
        <n v="57645"/>
        <n v="34485"/>
        <n v="9609"/>
        <n v="31559"/>
        <n v="23268"/>
        <n v="27183"/>
        <n v="27364"/>
        <n v="18659"/>
        <n v="34270"/>
        <n v="32288"/>
        <n v="57604"/>
        <n v="9873"/>
        <n v="8486"/>
        <n v="27048"/>
        <n v="27367"/>
        <n v="57105"/>
        <n v="57430"/>
        <n v="57346"/>
        <n v="58065"/>
        <n v="34341"/>
        <n v="23556"/>
        <n v="34103"/>
        <n v="34594"/>
        <n v="22754"/>
        <n v="18390"/>
        <n v="57667"/>
        <n v="3644"/>
        <n v="9262"/>
        <n v="15302"/>
        <n v="11710"/>
        <n v="12093"/>
        <n v="57332"/>
        <n v="57893"/>
        <n v="9744"/>
        <n v="35285"/>
        <n v="57436"/>
        <n v="4614"/>
        <n v="27837"/>
        <n v="35251"/>
        <n v="17309"/>
        <n v="5757"/>
        <n v="35175"/>
        <n v="32247"/>
        <n v="34843"/>
        <n v="35461"/>
        <n v="57563"/>
        <n v="26535"/>
        <n v="34396"/>
        <n v="32069"/>
        <n v="34369"/>
        <n v="57943"/>
        <n v="33824"/>
        <n v="8266"/>
        <n v="34881"/>
        <n v="34639"/>
        <n v="22238"/>
        <n v="4754"/>
        <n v="18896"/>
        <n v="18243"/>
        <n v="57558"/>
        <n v="34820"/>
        <n v="20078"/>
        <n v="35399"/>
        <n v="57342"/>
        <n v="16500"/>
        <n v="34563"/>
        <n v="5431"/>
        <n v="22574"/>
        <n v="23124"/>
        <n v="57017"/>
        <n v="26538"/>
        <n v="30763"/>
        <n v="58001"/>
        <n v="33025"/>
        <n v="34959"/>
        <n v="19733"/>
        <n v="11568"/>
        <n v="35379"/>
        <n v="34301"/>
        <n v="28344"/>
        <n v="30968"/>
        <n v="16490"/>
        <n v="23595"/>
        <n v="26870"/>
        <n v="57930"/>
        <n v="58241"/>
        <n v="13789"/>
        <n v="57654"/>
        <n v="32633"/>
        <n v="6782"/>
        <n v="34194"/>
        <n v="35469"/>
        <n v="22728"/>
        <n v="57523"/>
        <n v="57961"/>
        <n v="27011"/>
        <n v="29730"/>
        <n v="12736"/>
        <n v="33901"/>
        <n v="1971"/>
        <n v="24660"/>
        <n v="16848"/>
        <n v="32575"/>
        <n v="35353"/>
        <n v="1249"/>
        <n v="26778"/>
        <n v="26838"/>
        <n v="31330"/>
        <n v="27203"/>
        <n v="11639"/>
        <n v="27094"/>
        <n v="16445"/>
        <n v="9961"/>
        <n v="33784"/>
        <n v="29355"/>
        <n v="19183"/>
        <n v="34979"/>
        <n v="26652"/>
        <n v="22314"/>
        <n v="8966"/>
        <n v="22002"/>
        <n v="24382"/>
        <n v="34248"/>
        <n v="32646"/>
        <n v="6629"/>
        <n v="34264"/>
        <n v="3815"/>
        <n v="21029"/>
      </sharedItems>
    </cacheField>
    <cacheField name="Closing Date" numFmtId="15">
      <sharedItems containsSemiMixedTypes="0" containsNonDate="0" containsDate="1" containsString="0" minDate="2000-10-13T00:00:00" maxDate="2010-01-16T00:00:00" count="91">
        <d v="2010-01-15T00:00:00"/>
        <d v="2010-01-08T00:00:00"/>
        <d v="2009-12-18T00:00:00"/>
        <d v="2009-12-11T00:00:00"/>
        <d v="2009-12-04T00:00:00"/>
        <d v="2009-11-20T00:00:00"/>
        <d v="2009-11-13T00:00:00"/>
        <d v="2009-11-06T00:00:00"/>
        <d v="2009-10-30T00:00:00"/>
        <d v="2009-10-23T00:00:00"/>
        <d v="2009-10-16T00:00:00"/>
        <d v="2009-10-02T00:00:00"/>
        <d v="2009-09-25T00:00:00"/>
        <d v="2009-09-18T00:00:00"/>
        <d v="2009-09-11T00:00:00"/>
        <d v="2009-09-04T00:00:00"/>
        <d v="2009-08-28T00:00:00"/>
        <d v="2009-08-21T00:00:00"/>
        <d v="2009-08-14T00:00:00"/>
        <d v="2009-08-07T00:00:00"/>
        <d v="2009-07-31T00:00:00"/>
        <d v="2009-07-24T00:00:00"/>
        <d v="2009-07-17T00:00:00"/>
        <d v="2009-07-10T00:00:00"/>
        <d v="2009-07-02T00:00:00"/>
        <d v="2009-06-26T00:00:00"/>
        <d v="2009-06-19T00:00:00"/>
        <d v="2009-06-05T00:00:00"/>
        <d v="2009-05-22T00:00:00"/>
        <d v="2009-05-21T00:00:00"/>
        <d v="2009-05-08T00:00:00"/>
        <d v="2009-05-01T00:00:00"/>
        <d v="2009-04-24T00:00:00"/>
        <d v="2009-04-17T00:00:00"/>
        <d v="2009-04-10T00:00:00"/>
        <d v="2009-03-27T00:00:00"/>
        <d v="2009-03-20T00:00:00"/>
        <d v="2009-03-06T00:00:00"/>
        <d v="2009-02-27T00:00:00"/>
        <d v="2009-02-20T00:00:00"/>
        <d v="2009-02-13T00:00:00"/>
        <d v="2009-02-06T00:00:00"/>
        <d v="2009-01-30T00:00:00"/>
        <d v="2009-01-23T00:00:00"/>
        <d v="2009-01-16T00:00:00"/>
        <d v="2008-12-12T00:00:00"/>
        <d v="2008-12-05T00:00:00"/>
        <d v="2008-11-21T00:00:00"/>
        <d v="2008-11-07T00:00:00"/>
        <d v="2008-10-31T00:00:00"/>
        <d v="2008-10-24T00:00:00"/>
        <d v="2008-10-10T00:00:00"/>
        <d v="2008-09-25T00:00:00"/>
        <d v="2008-09-19T00:00:00"/>
        <d v="2008-09-05T00:00:00"/>
        <d v="2008-08-29T00:00:00"/>
        <d v="2008-08-22T00:00:00"/>
        <d v="2008-08-01T00:00:00"/>
        <d v="2008-07-25T00:00:00"/>
        <d v="2008-07-11T00:00:00"/>
        <d v="2008-05-30T00:00:00"/>
        <d v="2008-05-09T00:00:00"/>
        <d v="2008-03-07T00:00:00"/>
        <d v="2008-01-25T00:00:00"/>
        <d v="2007-10-04T00:00:00"/>
        <d v="2007-09-28T00:00:00"/>
        <d v="2007-02-02T00:00:00"/>
        <d v="2004-06-25T00:00:00"/>
        <d v="2004-03-19T00:00:00"/>
        <d v="2004-03-12T00:00:00"/>
        <d v="2004-02-14T00:00:00"/>
        <d v="2003-11-14T00:00:00"/>
        <d v="2003-05-09T00:00:00"/>
        <d v="2003-02-07T00:00:00"/>
        <d v="2002-12-17T00:00:00"/>
        <d v="2002-11-08T00:00:00"/>
        <d v="2002-09-30T00:00:00"/>
        <d v="2002-06-27T00:00:00"/>
        <d v="2002-06-26T00:00:00"/>
        <d v="2002-03-28T00:00:00"/>
        <d v="2002-03-01T00:00:00"/>
        <d v="2002-02-07T00:00:00"/>
        <d v="2002-02-01T00:00:00"/>
        <d v="2002-01-18T00:00:00"/>
        <d v="2002-01-11T00:00:00"/>
        <d v="2001-09-07T00:00:00"/>
        <d v="2001-07-27T00:00:00"/>
        <d v="2001-05-03T00:00:00"/>
        <d v="2001-02-02T00:00:00"/>
        <d v="2000-12-14T00:00:00"/>
        <d v="2000-10-13T00:00:00"/>
      </sharedItems>
      <fieldGroup par="7" base="4">
        <rangePr groupBy="months" startDate="2000-10-13T00:00:00" endDate="2010-01-16T00:00:00"/>
        <groupItems count="14">
          <s v="&lt;10/13/2000"/>
          <s v="Jan"/>
          <s v="Feb"/>
          <s v="Mar"/>
          <s v="Apr"/>
          <s v="May"/>
          <s v="Jun"/>
          <s v="Jul"/>
          <s v="Aug"/>
          <s v="Sep"/>
          <s v="Oct"/>
          <s v="Nov"/>
          <s v="Dec"/>
          <s v="&gt;1/16/2010"/>
        </groupItems>
      </fieldGroup>
    </cacheField>
    <cacheField name="Updated Date" numFmtId="15">
      <sharedItems containsSemiMixedTypes="0" containsNonDate="0" containsDate="1" containsString="0" minDate="2002-11-18T00:00:00" maxDate="2010-01-20T00:00:00" count="30">
        <d v="2010-01-19T00:00:00"/>
        <d v="2010-01-12T00:00:00"/>
        <d v="2009-12-23T00:00:00"/>
        <d v="2010-01-14T00:00:00"/>
        <d v="2010-01-08T00:00:00"/>
        <d v="2009-12-22T00:00:00"/>
        <d v="2009-12-15T00:00:00"/>
        <d v="2009-12-08T00:00:00"/>
        <d v="2009-11-18T00:00:00"/>
        <d v="2009-11-09T00:00:00"/>
        <d v="2009-11-03T00:00:00"/>
        <d v="2009-10-29T00:00:00"/>
        <d v="2009-10-28T00:00:00"/>
        <d v="2009-10-21T00:00:00"/>
        <d v="2009-10-20T00:00:00"/>
        <d v="2009-10-13T00:00:00"/>
        <d v="2009-09-22T00:00:00"/>
        <d v="2009-11-23T00:00:00"/>
        <d v="2008-04-09T00:00:00"/>
        <d v="2005-07-22T00:00:00"/>
        <d v="2009-08-06T00:00:00"/>
        <d v="2008-10-20T00:00:00"/>
        <d v="2004-10-20T00:00:00"/>
        <d v="2005-03-18T00:00:00"/>
        <d v="2006-09-11T00:00:00"/>
        <d v="2003-11-06T00:00:00"/>
        <d v="2004-02-10T00:00:00"/>
        <d v="2002-11-18T00:00:00"/>
        <d v="2003-02-18T00:00:00"/>
        <d v="2005-03-17T00:00:00"/>
      </sharedItems>
    </cacheField>
    <cacheField name="Quarters" numFmtId="0" databaseField="0">
      <fieldGroup base="4">
        <rangePr groupBy="quarters" startDate="2000-10-13T00:00:00" endDate="2010-01-16T00:00:00"/>
        <groupItems count="6">
          <s v="&lt;10/13/2000"/>
          <s v="Qtr1"/>
          <s v="Qtr2"/>
          <s v="Qtr3"/>
          <s v="Qtr4"/>
          <s v="&gt;1/16/2010"/>
        </groupItems>
      </fieldGroup>
    </cacheField>
    <cacheField name="Years" numFmtId="0" databaseField="0">
      <fieldGroup base="4">
        <rangePr groupBy="years" startDate="2000-10-13T00:00:00" endDate="2010-01-16T00:00:00"/>
        <groupItems count="13">
          <s v="&lt;10/13/2000"/>
          <s v="2000"/>
          <s v="2001"/>
          <s v="2002"/>
          <s v="2003"/>
          <s v="2004"/>
          <s v="2005"/>
          <s v="2006"/>
          <s v="2007"/>
          <s v="2008"/>
          <s v="2009"/>
          <s v="2010"/>
          <s v="&gt;1/16/2010"/>
        </groupItems>
      </fieldGroup>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PC User" refreshedDate="44674.4906849537" createdVersion="6" refreshedVersion="6" recordCount="197">
  <cacheSource type="worksheet">
    <worksheetSource ref="A1:H198" sheet="banklist Data"/>
  </cacheSource>
  <cacheFields count="8">
    <cacheField name="Bank Name" numFmtId="0">
      <sharedItems/>
    </cacheField>
    <cacheField name="City" numFmtId="0">
      <sharedItems/>
    </cacheField>
    <cacheField name="State" numFmtId="0">
      <sharedItems/>
    </cacheField>
    <cacheField name="CERT #" numFmtId="0">
      <sharedItems containsSemiMixedTypes="0" containsString="0" containsNumber="1" containsInteger="1" minValue="1006" maxValue="58399"/>
    </cacheField>
    <cacheField name="Closing Date" numFmtId="15">
      <sharedItems containsSemiMixedTypes="0" containsNonDate="0" containsDate="1" containsString="0" minDate="2000-10-13T00:00:00" maxDate="2010-01-16T00:00:00"/>
    </cacheField>
    <cacheField name="Updated Date" numFmtId="15">
      <sharedItems containsSemiMixedTypes="0" containsNonDate="0" containsDate="1" containsString="0" minDate="2002-11-18T00:00:00" maxDate="2010-01-20T00:00:00"/>
    </cacheField>
    <cacheField name="FIRST LETTER OF CITY" numFmtId="0">
      <sharedItems/>
    </cacheField>
    <cacheField name="DAYS OF THE WEEK" numFmtId="0">
      <sharedItems count="6">
        <s v="Fri"/>
        <s v="Thu"/>
        <s v="Sat"/>
        <s v="Tue"/>
        <s v="Mon"/>
        <s v="Wed"/>
      </sharedItems>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PC User" refreshedDate="44674.491164236111" createdVersion="6" refreshedVersion="6" recordCount="197">
  <cacheSource type="worksheet">
    <worksheetSource ref="A1:G198" sheet="banklist Data"/>
  </cacheSource>
  <cacheFields count="7">
    <cacheField name="Bank Name" numFmtId="0">
      <sharedItems/>
    </cacheField>
    <cacheField name="City" numFmtId="0">
      <sharedItems/>
    </cacheField>
    <cacheField name="State" numFmtId="0">
      <sharedItems/>
    </cacheField>
    <cacheField name="CERT #" numFmtId="0">
      <sharedItems containsSemiMixedTypes="0" containsString="0" containsNumber="1" containsInteger="1" minValue="1006" maxValue="58399"/>
    </cacheField>
    <cacheField name="Closing Date" numFmtId="15">
      <sharedItems containsSemiMixedTypes="0" containsNonDate="0" containsDate="1" containsString="0" minDate="2000-10-13T00:00:00" maxDate="2010-01-16T00:00:00"/>
    </cacheField>
    <cacheField name="Updated Date" numFmtId="15">
      <sharedItems containsSemiMixedTypes="0" containsNonDate="0" containsDate="1" containsString="0" minDate="2002-11-18T00:00:00" maxDate="2010-01-20T00:00:00"/>
    </cacheField>
    <cacheField name="FIRST LETTER OF CITY" numFmtId="0">
      <sharedItems count="21">
        <s v="K"/>
        <s v="S"/>
        <s v="A"/>
        <s v="B"/>
        <s v="L"/>
        <s v="I"/>
        <s v="N"/>
        <s v="P"/>
        <s v="O"/>
        <s v="M"/>
        <s v="R"/>
        <s v="C"/>
        <s v="F"/>
        <s v="D"/>
        <s v="H"/>
        <s v="T"/>
        <s v="W"/>
        <s v="V"/>
        <s v="G"/>
        <s v="E"/>
        <s v="J"/>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197">
  <r>
    <x v="0"/>
    <x v="0"/>
    <x v="0"/>
    <x v="0"/>
    <x v="0"/>
    <x v="0"/>
  </r>
  <r>
    <x v="1"/>
    <x v="1"/>
    <x v="1"/>
    <x v="1"/>
    <x v="0"/>
    <x v="0"/>
  </r>
  <r>
    <x v="2"/>
    <x v="2"/>
    <x v="2"/>
    <x v="2"/>
    <x v="0"/>
    <x v="0"/>
  </r>
  <r>
    <x v="3"/>
    <x v="3"/>
    <x v="3"/>
    <x v="3"/>
    <x v="1"/>
    <x v="1"/>
  </r>
  <r>
    <x v="4"/>
    <x v="4"/>
    <x v="4"/>
    <x v="4"/>
    <x v="2"/>
    <x v="2"/>
  </r>
  <r>
    <x v="5"/>
    <x v="5"/>
    <x v="4"/>
    <x v="5"/>
    <x v="2"/>
    <x v="2"/>
  </r>
  <r>
    <x v="6"/>
    <x v="6"/>
    <x v="2"/>
    <x v="6"/>
    <x v="2"/>
    <x v="3"/>
  </r>
  <r>
    <x v="7"/>
    <x v="7"/>
    <x v="5"/>
    <x v="7"/>
    <x v="2"/>
    <x v="2"/>
  </r>
  <r>
    <x v="8"/>
    <x v="8"/>
    <x v="6"/>
    <x v="8"/>
    <x v="2"/>
    <x v="4"/>
  </r>
  <r>
    <x v="9"/>
    <x v="9"/>
    <x v="7"/>
    <x v="9"/>
    <x v="2"/>
    <x v="2"/>
  </r>
  <r>
    <x v="10"/>
    <x v="10"/>
    <x v="8"/>
    <x v="10"/>
    <x v="2"/>
    <x v="5"/>
  </r>
  <r>
    <x v="11"/>
    <x v="11"/>
    <x v="9"/>
    <x v="11"/>
    <x v="3"/>
    <x v="6"/>
  </r>
  <r>
    <x v="12"/>
    <x v="12"/>
    <x v="10"/>
    <x v="12"/>
    <x v="3"/>
    <x v="6"/>
  </r>
  <r>
    <x v="13"/>
    <x v="13"/>
    <x v="7"/>
    <x v="13"/>
    <x v="3"/>
    <x v="6"/>
  </r>
  <r>
    <x v="14"/>
    <x v="14"/>
    <x v="11"/>
    <x v="14"/>
    <x v="4"/>
    <x v="6"/>
  </r>
  <r>
    <x v="15"/>
    <x v="15"/>
    <x v="2"/>
    <x v="15"/>
    <x v="4"/>
    <x v="7"/>
  </r>
  <r>
    <x v="16"/>
    <x v="16"/>
    <x v="12"/>
    <x v="16"/>
    <x v="4"/>
    <x v="7"/>
  </r>
  <r>
    <x v="17"/>
    <x v="17"/>
    <x v="8"/>
    <x v="17"/>
    <x v="4"/>
    <x v="6"/>
  </r>
  <r>
    <x v="18"/>
    <x v="18"/>
    <x v="8"/>
    <x v="18"/>
    <x v="4"/>
    <x v="7"/>
  </r>
  <r>
    <x v="19"/>
    <x v="10"/>
    <x v="8"/>
    <x v="19"/>
    <x v="4"/>
    <x v="6"/>
  </r>
  <r>
    <x v="20"/>
    <x v="19"/>
    <x v="7"/>
    <x v="20"/>
    <x v="5"/>
    <x v="6"/>
  </r>
  <r>
    <x v="21"/>
    <x v="20"/>
    <x v="4"/>
    <x v="21"/>
    <x v="6"/>
    <x v="8"/>
  </r>
  <r>
    <x v="22"/>
    <x v="21"/>
    <x v="7"/>
    <x v="22"/>
    <x v="6"/>
    <x v="6"/>
  </r>
  <r>
    <x v="23"/>
    <x v="22"/>
    <x v="7"/>
    <x v="23"/>
    <x v="6"/>
    <x v="6"/>
  </r>
  <r>
    <x v="24"/>
    <x v="23"/>
    <x v="4"/>
    <x v="24"/>
    <x v="7"/>
    <x v="9"/>
  </r>
  <r>
    <x v="25"/>
    <x v="24"/>
    <x v="13"/>
    <x v="25"/>
    <x v="7"/>
    <x v="9"/>
  </r>
  <r>
    <x v="26"/>
    <x v="25"/>
    <x v="1"/>
    <x v="26"/>
    <x v="7"/>
    <x v="9"/>
  </r>
  <r>
    <x v="27"/>
    <x v="26"/>
    <x v="6"/>
    <x v="27"/>
    <x v="7"/>
    <x v="6"/>
  </r>
  <r>
    <x v="28"/>
    <x v="27"/>
    <x v="8"/>
    <x v="28"/>
    <x v="7"/>
    <x v="6"/>
  </r>
  <r>
    <x v="29"/>
    <x v="28"/>
    <x v="14"/>
    <x v="29"/>
    <x v="8"/>
    <x v="10"/>
  </r>
  <r>
    <x v="30"/>
    <x v="29"/>
    <x v="14"/>
    <x v="30"/>
    <x v="8"/>
    <x v="10"/>
  </r>
  <r>
    <x v="31"/>
    <x v="30"/>
    <x v="14"/>
    <x v="31"/>
    <x v="8"/>
    <x v="10"/>
  </r>
  <r>
    <x v="32"/>
    <x v="31"/>
    <x v="2"/>
    <x v="32"/>
    <x v="8"/>
    <x v="10"/>
  </r>
  <r>
    <x v="33"/>
    <x v="23"/>
    <x v="4"/>
    <x v="33"/>
    <x v="8"/>
    <x v="10"/>
  </r>
  <r>
    <x v="34"/>
    <x v="32"/>
    <x v="4"/>
    <x v="34"/>
    <x v="8"/>
    <x v="10"/>
  </r>
  <r>
    <x v="35"/>
    <x v="33"/>
    <x v="4"/>
    <x v="35"/>
    <x v="8"/>
    <x v="10"/>
  </r>
  <r>
    <x v="36"/>
    <x v="34"/>
    <x v="2"/>
    <x v="36"/>
    <x v="8"/>
    <x v="10"/>
  </r>
  <r>
    <x v="37"/>
    <x v="35"/>
    <x v="10"/>
    <x v="37"/>
    <x v="8"/>
    <x v="10"/>
  </r>
  <r>
    <x v="38"/>
    <x v="36"/>
    <x v="2"/>
    <x v="38"/>
    <x v="9"/>
    <x v="10"/>
  </r>
  <r>
    <x v="39"/>
    <x v="37"/>
    <x v="1"/>
    <x v="39"/>
    <x v="9"/>
    <x v="10"/>
  </r>
  <r>
    <x v="40"/>
    <x v="38"/>
    <x v="15"/>
    <x v="40"/>
    <x v="9"/>
    <x v="10"/>
  </r>
  <r>
    <x v="41"/>
    <x v="39"/>
    <x v="7"/>
    <x v="41"/>
    <x v="9"/>
    <x v="11"/>
  </r>
  <r>
    <x v="42"/>
    <x v="21"/>
    <x v="7"/>
    <x v="42"/>
    <x v="9"/>
    <x v="12"/>
  </r>
  <r>
    <x v="43"/>
    <x v="40"/>
    <x v="8"/>
    <x v="43"/>
    <x v="9"/>
    <x v="12"/>
  </r>
  <r>
    <x v="44"/>
    <x v="21"/>
    <x v="7"/>
    <x v="44"/>
    <x v="9"/>
    <x v="12"/>
  </r>
  <r>
    <x v="45"/>
    <x v="41"/>
    <x v="4"/>
    <x v="45"/>
    <x v="10"/>
    <x v="13"/>
  </r>
  <r>
    <x v="46"/>
    <x v="42"/>
    <x v="16"/>
    <x v="46"/>
    <x v="11"/>
    <x v="14"/>
  </r>
  <r>
    <x v="47"/>
    <x v="43"/>
    <x v="1"/>
    <x v="47"/>
    <x v="11"/>
    <x v="14"/>
  </r>
  <r>
    <x v="48"/>
    <x v="44"/>
    <x v="6"/>
    <x v="48"/>
    <x v="11"/>
    <x v="14"/>
  </r>
  <r>
    <x v="49"/>
    <x v="10"/>
    <x v="8"/>
    <x v="49"/>
    <x v="12"/>
    <x v="15"/>
  </r>
  <r>
    <x v="50"/>
    <x v="45"/>
    <x v="17"/>
    <x v="50"/>
    <x v="13"/>
    <x v="16"/>
  </r>
  <r>
    <x v="51"/>
    <x v="46"/>
    <x v="18"/>
    <x v="51"/>
    <x v="13"/>
    <x v="16"/>
  </r>
  <r>
    <x v="52"/>
    <x v="47"/>
    <x v="3"/>
    <x v="52"/>
    <x v="14"/>
    <x v="17"/>
  </r>
  <r>
    <x v="53"/>
    <x v="48"/>
    <x v="1"/>
    <x v="53"/>
    <x v="14"/>
    <x v="17"/>
  </r>
  <r>
    <x v="54"/>
    <x v="31"/>
    <x v="2"/>
    <x v="54"/>
    <x v="14"/>
    <x v="17"/>
  </r>
  <r>
    <x v="55"/>
    <x v="49"/>
    <x v="10"/>
    <x v="55"/>
    <x v="15"/>
    <x v="17"/>
  </r>
  <r>
    <x v="56"/>
    <x v="50"/>
    <x v="2"/>
    <x v="56"/>
    <x v="15"/>
    <x v="17"/>
  </r>
  <r>
    <x v="57"/>
    <x v="51"/>
    <x v="19"/>
    <x v="57"/>
    <x v="15"/>
    <x v="17"/>
  </r>
  <r>
    <x v="58"/>
    <x v="52"/>
    <x v="2"/>
    <x v="58"/>
    <x v="15"/>
    <x v="17"/>
  </r>
  <r>
    <x v="59"/>
    <x v="53"/>
    <x v="13"/>
    <x v="59"/>
    <x v="15"/>
    <x v="17"/>
  </r>
  <r>
    <x v="60"/>
    <x v="54"/>
    <x v="4"/>
    <x v="60"/>
    <x v="16"/>
    <x v="17"/>
  </r>
  <r>
    <x v="61"/>
    <x v="55"/>
    <x v="1"/>
    <x v="61"/>
    <x v="16"/>
    <x v="17"/>
  </r>
  <r>
    <x v="62"/>
    <x v="56"/>
    <x v="20"/>
    <x v="62"/>
    <x v="16"/>
    <x v="17"/>
  </r>
  <r>
    <x v="63"/>
    <x v="57"/>
    <x v="14"/>
    <x v="63"/>
    <x v="17"/>
    <x v="17"/>
  </r>
  <r>
    <x v="64"/>
    <x v="58"/>
    <x v="5"/>
    <x v="64"/>
    <x v="17"/>
    <x v="17"/>
  </r>
  <r>
    <x v="65"/>
    <x v="59"/>
    <x v="8"/>
    <x v="65"/>
    <x v="17"/>
    <x v="17"/>
  </r>
  <r>
    <x v="66"/>
    <x v="10"/>
    <x v="8"/>
    <x v="66"/>
    <x v="17"/>
    <x v="17"/>
  </r>
  <r>
    <x v="67"/>
    <x v="60"/>
    <x v="21"/>
    <x v="67"/>
    <x v="18"/>
    <x v="17"/>
  </r>
  <r>
    <x v="68"/>
    <x v="35"/>
    <x v="10"/>
    <x v="68"/>
    <x v="18"/>
    <x v="17"/>
  </r>
  <r>
    <x v="69"/>
    <x v="61"/>
    <x v="10"/>
    <x v="69"/>
    <x v="18"/>
    <x v="17"/>
  </r>
  <r>
    <x v="70"/>
    <x v="62"/>
    <x v="5"/>
    <x v="70"/>
    <x v="18"/>
    <x v="17"/>
  </r>
  <r>
    <x v="71"/>
    <x v="63"/>
    <x v="22"/>
    <x v="71"/>
    <x v="18"/>
    <x v="17"/>
  </r>
  <r>
    <x v="72"/>
    <x v="64"/>
    <x v="23"/>
    <x v="72"/>
    <x v="19"/>
    <x v="17"/>
  </r>
  <r>
    <x v="73"/>
    <x v="65"/>
    <x v="7"/>
    <x v="73"/>
    <x v="19"/>
    <x v="17"/>
  </r>
  <r>
    <x v="55"/>
    <x v="22"/>
    <x v="7"/>
    <x v="74"/>
    <x v="19"/>
    <x v="17"/>
  </r>
  <r>
    <x v="74"/>
    <x v="66"/>
    <x v="2"/>
    <x v="75"/>
    <x v="20"/>
    <x v="17"/>
  </r>
  <r>
    <x v="75"/>
    <x v="67"/>
    <x v="24"/>
    <x v="76"/>
    <x v="20"/>
    <x v="17"/>
  </r>
  <r>
    <x v="76"/>
    <x v="68"/>
    <x v="12"/>
    <x v="77"/>
    <x v="20"/>
    <x v="17"/>
  </r>
  <r>
    <x v="77"/>
    <x v="69"/>
    <x v="7"/>
    <x v="78"/>
    <x v="20"/>
    <x v="17"/>
  </r>
  <r>
    <x v="78"/>
    <x v="70"/>
    <x v="25"/>
    <x v="79"/>
    <x v="20"/>
    <x v="17"/>
  </r>
  <r>
    <x v="79"/>
    <x v="71"/>
    <x v="8"/>
    <x v="80"/>
    <x v="21"/>
    <x v="17"/>
  </r>
  <r>
    <x v="80"/>
    <x v="72"/>
    <x v="8"/>
    <x v="81"/>
    <x v="21"/>
    <x v="17"/>
  </r>
  <r>
    <x v="81"/>
    <x v="73"/>
    <x v="8"/>
    <x v="82"/>
    <x v="21"/>
    <x v="17"/>
  </r>
  <r>
    <x v="82"/>
    <x v="74"/>
    <x v="8"/>
    <x v="83"/>
    <x v="21"/>
    <x v="17"/>
  </r>
  <r>
    <x v="83"/>
    <x v="75"/>
    <x v="8"/>
    <x v="84"/>
    <x v="21"/>
    <x v="17"/>
  </r>
  <r>
    <x v="84"/>
    <x v="76"/>
    <x v="8"/>
    <x v="85"/>
    <x v="21"/>
    <x v="17"/>
  </r>
  <r>
    <x v="85"/>
    <x v="77"/>
    <x v="26"/>
    <x v="86"/>
    <x v="21"/>
    <x v="17"/>
  </r>
  <r>
    <x v="86"/>
    <x v="78"/>
    <x v="4"/>
    <x v="87"/>
    <x v="22"/>
    <x v="17"/>
  </r>
  <r>
    <x v="87"/>
    <x v="79"/>
    <x v="4"/>
    <x v="88"/>
    <x v="22"/>
    <x v="17"/>
  </r>
  <r>
    <x v="88"/>
    <x v="80"/>
    <x v="27"/>
    <x v="89"/>
    <x v="22"/>
    <x v="17"/>
  </r>
  <r>
    <x v="89"/>
    <x v="81"/>
    <x v="8"/>
    <x v="90"/>
    <x v="22"/>
    <x v="17"/>
  </r>
  <r>
    <x v="90"/>
    <x v="82"/>
    <x v="28"/>
    <x v="91"/>
    <x v="23"/>
    <x v="17"/>
  </r>
  <r>
    <x v="91"/>
    <x v="83"/>
    <x v="2"/>
    <x v="92"/>
    <x v="24"/>
    <x v="17"/>
  </r>
  <r>
    <x v="92"/>
    <x v="84"/>
    <x v="14"/>
    <x v="93"/>
    <x v="24"/>
    <x v="17"/>
  </r>
  <r>
    <x v="93"/>
    <x v="85"/>
    <x v="2"/>
    <x v="94"/>
    <x v="24"/>
    <x v="17"/>
  </r>
  <r>
    <x v="94"/>
    <x v="67"/>
    <x v="2"/>
    <x v="95"/>
    <x v="24"/>
    <x v="17"/>
  </r>
  <r>
    <x v="95"/>
    <x v="86"/>
    <x v="2"/>
    <x v="96"/>
    <x v="24"/>
    <x v="17"/>
  </r>
  <r>
    <x v="96"/>
    <x v="87"/>
    <x v="2"/>
    <x v="97"/>
    <x v="24"/>
    <x v="17"/>
  </r>
  <r>
    <x v="97"/>
    <x v="88"/>
    <x v="2"/>
    <x v="98"/>
    <x v="24"/>
    <x v="17"/>
  </r>
  <r>
    <x v="98"/>
    <x v="32"/>
    <x v="4"/>
    <x v="99"/>
    <x v="25"/>
    <x v="17"/>
  </r>
  <r>
    <x v="99"/>
    <x v="89"/>
    <x v="4"/>
    <x v="100"/>
    <x v="25"/>
    <x v="17"/>
  </r>
  <r>
    <x v="3"/>
    <x v="90"/>
    <x v="1"/>
    <x v="101"/>
    <x v="25"/>
    <x v="17"/>
  </r>
  <r>
    <x v="100"/>
    <x v="59"/>
    <x v="8"/>
    <x v="102"/>
    <x v="25"/>
    <x v="17"/>
  </r>
  <r>
    <x v="101"/>
    <x v="91"/>
    <x v="8"/>
    <x v="103"/>
    <x v="25"/>
    <x v="17"/>
  </r>
  <r>
    <x v="102"/>
    <x v="92"/>
    <x v="9"/>
    <x v="104"/>
    <x v="26"/>
    <x v="17"/>
  </r>
  <r>
    <x v="103"/>
    <x v="93"/>
    <x v="29"/>
    <x v="105"/>
    <x v="26"/>
    <x v="17"/>
  </r>
  <r>
    <x v="104"/>
    <x v="94"/>
    <x v="8"/>
    <x v="106"/>
    <x v="26"/>
    <x v="17"/>
  </r>
  <r>
    <x v="105"/>
    <x v="95"/>
    <x v="2"/>
    <x v="107"/>
    <x v="27"/>
    <x v="17"/>
  </r>
  <r>
    <x v="31"/>
    <x v="96"/>
    <x v="2"/>
    <x v="108"/>
    <x v="28"/>
    <x v="17"/>
  </r>
  <r>
    <x v="106"/>
    <x v="97"/>
    <x v="2"/>
    <x v="109"/>
    <x v="28"/>
    <x v="17"/>
  </r>
  <r>
    <x v="107"/>
    <x v="98"/>
    <x v="7"/>
    <x v="110"/>
    <x v="29"/>
    <x v="17"/>
  </r>
  <r>
    <x v="108"/>
    <x v="99"/>
    <x v="3"/>
    <x v="111"/>
    <x v="30"/>
    <x v="17"/>
  </r>
  <r>
    <x v="109"/>
    <x v="100"/>
    <x v="0"/>
    <x v="112"/>
    <x v="31"/>
    <x v="17"/>
  </r>
  <r>
    <x v="110"/>
    <x v="101"/>
    <x v="24"/>
    <x v="113"/>
    <x v="31"/>
    <x v="17"/>
  </r>
  <r>
    <x v="111"/>
    <x v="10"/>
    <x v="8"/>
    <x v="114"/>
    <x v="31"/>
    <x v="17"/>
  </r>
  <r>
    <x v="112"/>
    <x v="102"/>
    <x v="30"/>
    <x v="115"/>
    <x v="32"/>
    <x v="17"/>
  </r>
  <r>
    <x v="113"/>
    <x v="103"/>
    <x v="4"/>
    <x v="116"/>
    <x v="32"/>
    <x v="17"/>
  </r>
  <r>
    <x v="114"/>
    <x v="104"/>
    <x v="6"/>
    <x v="117"/>
    <x v="32"/>
    <x v="17"/>
  </r>
  <r>
    <x v="115"/>
    <x v="105"/>
    <x v="8"/>
    <x v="118"/>
    <x v="32"/>
    <x v="17"/>
  </r>
  <r>
    <x v="116"/>
    <x v="106"/>
    <x v="21"/>
    <x v="119"/>
    <x v="33"/>
    <x v="17"/>
  </r>
  <r>
    <x v="117"/>
    <x v="107"/>
    <x v="13"/>
    <x v="120"/>
    <x v="33"/>
    <x v="17"/>
  </r>
  <r>
    <x v="118"/>
    <x v="108"/>
    <x v="16"/>
    <x v="121"/>
    <x v="34"/>
    <x v="2"/>
  </r>
  <r>
    <x v="119"/>
    <x v="93"/>
    <x v="29"/>
    <x v="122"/>
    <x v="34"/>
    <x v="17"/>
  </r>
  <r>
    <x v="120"/>
    <x v="10"/>
    <x v="8"/>
    <x v="123"/>
    <x v="35"/>
    <x v="17"/>
  </r>
  <r>
    <x v="121"/>
    <x v="109"/>
    <x v="9"/>
    <x v="124"/>
    <x v="36"/>
    <x v="17"/>
  </r>
  <r>
    <x v="122"/>
    <x v="110"/>
    <x v="16"/>
    <x v="125"/>
    <x v="36"/>
    <x v="17"/>
  </r>
  <r>
    <x v="123"/>
    <x v="111"/>
    <x v="8"/>
    <x v="126"/>
    <x v="36"/>
    <x v="17"/>
  </r>
  <r>
    <x v="124"/>
    <x v="112"/>
    <x v="8"/>
    <x v="127"/>
    <x v="37"/>
    <x v="17"/>
  </r>
  <r>
    <x v="125"/>
    <x v="113"/>
    <x v="21"/>
    <x v="128"/>
    <x v="38"/>
    <x v="17"/>
  </r>
  <r>
    <x v="126"/>
    <x v="114"/>
    <x v="2"/>
    <x v="129"/>
    <x v="38"/>
    <x v="17"/>
  </r>
  <r>
    <x v="127"/>
    <x v="115"/>
    <x v="23"/>
    <x v="130"/>
    <x v="39"/>
    <x v="17"/>
  </r>
  <r>
    <x v="128"/>
    <x v="116"/>
    <x v="23"/>
    <x v="131"/>
    <x v="40"/>
    <x v="17"/>
  </r>
  <r>
    <x v="129"/>
    <x v="117"/>
    <x v="2"/>
    <x v="132"/>
    <x v="40"/>
    <x v="17"/>
  </r>
  <r>
    <x v="130"/>
    <x v="118"/>
    <x v="7"/>
    <x v="133"/>
    <x v="40"/>
    <x v="17"/>
  </r>
  <r>
    <x v="131"/>
    <x v="119"/>
    <x v="31"/>
    <x v="134"/>
    <x v="40"/>
    <x v="17"/>
  </r>
  <r>
    <x v="132"/>
    <x v="120"/>
    <x v="4"/>
    <x v="135"/>
    <x v="41"/>
    <x v="17"/>
  </r>
  <r>
    <x v="133"/>
    <x v="121"/>
    <x v="4"/>
    <x v="136"/>
    <x v="41"/>
    <x v="17"/>
  </r>
  <r>
    <x v="134"/>
    <x v="122"/>
    <x v="8"/>
    <x v="137"/>
    <x v="41"/>
    <x v="17"/>
  </r>
  <r>
    <x v="135"/>
    <x v="123"/>
    <x v="7"/>
    <x v="138"/>
    <x v="42"/>
    <x v="17"/>
  </r>
  <r>
    <x v="136"/>
    <x v="124"/>
    <x v="20"/>
    <x v="139"/>
    <x v="42"/>
    <x v="17"/>
  </r>
  <r>
    <x v="137"/>
    <x v="125"/>
    <x v="0"/>
    <x v="140"/>
    <x v="42"/>
    <x v="17"/>
  </r>
  <r>
    <x v="138"/>
    <x v="126"/>
    <x v="4"/>
    <x v="141"/>
    <x v="43"/>
    <x v="17"/>
  </r>
  <r>
    <x v="139"/>
    <x v="127"/>
    <x v="3"/>
    <x v="142"/>
    <x v="44"/>
    <x v="17"/>
  </r>
  <r>
    <x v="140"/>
    <x v="128"/>
    <x v="2"/>
    <x v="143"/>
    <x v="44"/>
    <x v="17"/>
  </r>
  <r>
    <x v="141"/>
    <x v="129"/>
    <x v="14"/>
    <x v="144"/>
    <x v="45"/>
    <x v="17"/>
  </r>
  <r>
    <x v="142"/>
    <x v="130"/>
    <x v="8"/>
    <x v="145"/>
    <x v="45"/>
    <x v="17"/>
  </r>
  <r>
    <x v="143"/>
    <x v="131"/>
    <x v="8"/>
    <x v="146"/>
    <x v="46"/>
    <x v="17"/>
  </r>
  <r>
    <x v="144"/>
    <x v="132"/>
    <x v="4"/>
    <x v="147"/>
    <x v="47"/>
    <x v="17"/>
  </r>
  <r>
    <x v="145"/>
    <x v="133"/>
    <x v="4"/>
    <x v="148"/>
    <x v="47"/>
    <x v="17"/>
  </r>
  <r>
    <x v="146"/>
    <x v="134"/>
    <x v="8"/>
    <x v="149"/>
    <x v="47"/>
    <x v="17"/>
  </r>
  <r>
    <x v="147"/>
    <x v="32"/>
    <x v="4"/>
    <x v="150"/>
    <x v="48"/>
    <x v="17"/>
  </r>
  <r>
    <x v="148"/>
    <x v="28"/>
    <x v="14"/>
    <x v="151"/>
    <x v="48"/>
    <x v="17"/>
  </r>
  <r>
    <x v="149"/>
    <x v="39"/>
    <x v="7"/>
    <x v="152"/>
    <x v="49"/>
    <x v="17"/>
  </r>
  <r>
    <x v="150"/>
    <x v="75"/>
    <x v="8"/>
    <x v="153"/>
    <x v="50"/>
    <x v="17"/>
  </r>
  <r>
    <x v="151"/>
    <x v="135"/>
    <x v="2"/>
    <x v="154"/>
    <x v="51"/>
    <x v="17"/>
  </r>
  <r>
    <x v="152"/>
    <x v="136"/>
    <x v="6"/>
    <x v="155"/>
    <x v="51"/>
    <x v="17"/>
  </r>
  <r>
    <x v="153"/>
    <x v="113"/>
    <x v="21"/>
    <x v="156"/>
    <x v="52"/>
    <x v="17"/>
  </r>
  <r>
    <x v="154"/>
    <x v="137"/>
    <x v="0"/>
    <x v="156"/>
    <x v="52"/>
    <x v="17"/>
  </r>
  <r>
    <x v="155"/>
    <x v="138"/>
    <x v="32"/>
    <x v="157"/>
    <x v="53"/>
    <x v="17"/>
  </r>
  <r>
    <x v="156"/>
    <x v="113"/>
    <x v="21"/>
    <x v="158"/>
    <x v="54"/>
    <x v="17"/>
  </r>
  <r>
    <x v="77"/>
    <x v="75"/>
    <x v="8"/>
    <x v="159"/>
    <x v="55"/>
    <x v="17"/>
  </r>
  <r>
    <x v="157"/>
    <x v="139"/>
    <x v="9"/>
    <x v="160"/>
    <x v="56"/>
    <x v="17"/>
  </r>
  <r>
    <x v="158"/>
    <x v="39"/>
    <x v="7"/>
    <x v="161"/>
    <x v="57"/>
    <x v="17"/>
  </r>
  <r>
    <x v="159"/>
    <x v="133"/>
    <x v="4"/>
    <x v="162"/>
    <x v="58"/>
    <x v="17"/>
  </r>
  <r>
    <x v="160"/>
    <x v="140"/>
    <x v="21"/>
    <x v="163"/>
    <x v="58"/>
    <x v="17"/>
  </r>
  <r>
    <x v="161"/>
    <x v="141"/>
    <x v="4"/>
    <x v="164"/>
    <x v="59"/>
    <x v="17"/>
  </r>
  <r>
    <x v="162"/>
    <x v="142"/>
    <x v="1"/>
    <x v="165"/>
    <x v="60"/>
    <x v="17"/>
  </r>
  <r>
    <x v="163"/>
    <x v="143"/>
    <x v="33"/>
    <x v="166"/>
    <x v="61"/>
    <x v="17"/>
  </r>
  <r>
    <x v="164"/>
    <x v="144"/>
    <x v="13"/>
    <x v="167"/>
    <x v="62"/>
    <x v="17"/>
  </r>
  <r>
    <x v="165"/>
    <x v="53"/>
    <x v="13"/>
    <x v="168"/>
    <x v="63"/>
    <x v="17"/>
  </r>
  <r>
    <x v="166"/>
    <x v="145"/>
    <x v="12"/>
    <x v="169"/>
    <x v="64"/>
    <x v="17"/>
  </r>
  <r>
    <x v="167"/>
    <x v="75"/>
    <x v="8"/>
    <x v="170"/>
    <x v="65"/>
    <x v="17"/>
  </r>
  <r>
    <x v="168"/>
    <x v="63"/>
    <x v="22"/>
    <x v="171"/>
    <x v="66"/>
    <x v="17"/>
  </r>
  <r>
    <x v="169"/>
    <x v="146"/>
    <x v="0"/>
    <x v="172"/>
    <x v="67"/>
    <x v="18"/>
  </r>
  <r>
    <x v="170"/>
    <x v="147"/>
    <x v="26"/>
    <x v="173"/>
    <x v="68"/>
    <x v="18"/>
  </r>
  <r>
    <x v="171"/>
    <x v="148"/>
    <x v="7"/>
    <x v="174"/>
    <x v="69"/>
    <x v="17"/>
  </r>
  <r>
    <x v="172"/>
    <x v="149"/>
    <x v="24"/>
    <x v="175"/>
    <x v="70"/>
    <x v="18"/>
  </r>
  <r>
    <x v="173"/>
    <x v="150"/>
    <x v="22"/>
    <x v="176"/>
    <x v="71"/>
    <x v="19"/>
  </r>
  <r>
    <x v="174"/>
    <x v="151"/>
    <x v="15"/>
    <x v="177"/>
    <x v="72"/>
    <x v="20"/>
  </r>
  <r>
    <x v="175"/>
    <x v="152"/>
    <x v="4"/>
    <x v="178"/>
    <x v="73"/>
    <x v="21"/>
  </r>
  <r>
    <x v="176"/>
    <x v="153"/>
    <x v="34"/>
    <x v="179"/>
    <x v="74"/>
    <x v="22"/>
  </r>
  <r>
    <x v="177"/>
    <x v="154"/>
    <x v="35"/>
    <x v="180"/>
    <x v="75"/>
    <x v="23"/>
  </r>
  <r>
    <x v="178"/>
    <x v="10"/>
    <x v="8"/>
    <x v="181"/>
    <x v="76"/>
    <x v="24"/>
  </r>
  <r>
    <x v="179"/>
    <x v="31"/>
    <x v="2"/>
    <x v="182"/>
    <x v="77"/>
    <x v="18"/>
  </r>
  <r>
    <x v="180"/>
    <x v="155"/>
    <x v="36"/>
    <x v="183"/>
    <x v="78"/>
    <x v="17"/>
  </r>
  <r>
    <x v="181"/>
    <x v="156"/>
    <x v="6"/>
    <x v="184"/>
    <x v="79"/>
    <x v="23"/>
  </r>
  <r>
    <x v="182"/>
    <x v="157"/>
    <x v="7"/>
    <x v="185"/>
    <x v="80"/>
    <x v="18"/>
  </r>
  <r>
    <x v="183"/>
    <x v="35"/>
    <x v="10"/>
    <x v="186"/>
    <x v="81"/>
    <x v="17"/>
  </r>
  <r>
    <x v="184"/>
    <x v="158"/>
    <x v="12"/>
    <x v="187"/>
    <x v="82"/>
    <x v="17"/>
  </r>
  <r>
    <x v="185"/>
    <x v="159"/>
    <x v="14"/>
    <x v="188"/>
    <x v="83"/>
    <x v="25"/>
  </r>
  <r>
    <x v="186"/>
    <x v="13"/>
    <x v="7"/>
    <x v="189"/>
    <x v="84"/>
    <x v="17"/>
  </r>
  <r>
    <x v="187"/>
    <x v="160"/>
    <x v="33"/>
    <x v="190"/>
    <x v="85"/>
    <x v="26"/>
  </r>
  <r>
    <x v="188"/>
    <x v="161"/>
    <x v="2"/>
    <x v="191"/>
    <x v="86"/>
    <x v="17"/>
  </r>
  <r>
    <x v="189"/>
    <x v="162"/>
    <x v="12"/>
    <x v="192"/>
    <x v="87"/>
    <x v="27"/>
  </r>
  <r>
    <x v="190"/>
    <x v="163"/>
    <x v="37"/>
    <x v="193"/>
    <x v="88"/>
    <x v="28"/>
  </r>
  <r>
    <x v="191"/>
    <x v="164"/>
    <x v="2"/>
    <x v="194"/>
    <x v="89"/>
    <x v="29"/>
  </r>
  <r>
    <x v="192"/>
    <x v="165"/>
    <x v="38"/>
    <x v="195"/>
    <x v="90"/>
    <x v="29"/>
  </r>
</pivotCacheRecords>
</file>

<file path=xl/pivotCache/pivotCacheRecords2.xml><?xml version="1.0" encoding="utf-8"?>
<pivotCacheRecords xmlns="http://schemas.openxmlformats.org/spreadsheetml/2006/main" xmlns:r="http://schemas.openxmlformats.org/officeDocument/2006/relationships" count="197">
  <r>
    <s v="Barnes Banking Company"/>
    <s v="Kaysville"/>
    <s v="UT"/>
    <n v="1252"/>
    <d v="2010-01-15T00:00:00"/>
    <d v="2010-01-19T00:00:00"/>
    <s v="K"/>
    <x v="0"/>
  </r>
  <r>
    <s v="St. Stephen State Bank"/>
    <s v="St. Stephen"/>
    <s v="MN"/>
    <n v="17522"/>
    <d v="2010-01-15T00:00:00"/>
    <d v="2010-01-19T00:00:00"/>
    <s v="S"/>
    <x v="0"/>
  </r>
  <r>
    <s v="Town Community Bank &amp; Trust"/>
    <s v="Antioch"/>
    <s v="IL"/>
    <n v="34705"/>
    <d v="2010-01-15T00:00:00"/>
    <d v="2010-01-19T00:00:00"/>
    <s v="A"/>
    <x v="0"/>
  </r>
  <r>
    <s v="Horizon Bank"/>
    <s v="Bellingham"/>
    <s v="WA"/>
    <n v="22977"/>
    <d v="2010-01-08T00:00:00"/>
    <d v="2010-01-12T00:00:00"/>
    <s v="B"/>
    <x v="0"/>
  </r>
  <r>
    <s v="First Federal Bank of California, F.S.B."/>
    <s v="Santa Monica"/>
    <s v="CA"/>
    <n v="28536"/>
    <d v="2009-12-18T00:00:00"/>
    <d v="2009-12-23T00:00:00"/>
    <s v="S"/>
    <x v="0"/>
  </r>
  <r>
    <s v="Imperial Capital Bank"/>
    <s v="La Jolla"/>
    <s v="CA"/>
    <n v="26348"/>
    <d v="2009-12-18T00:00:00"/>
    <d v="2009-12-23T00:00:00"/>
    <s v="L"/>
    <x v="0"/>
  </r>
  <r>
    <s v="Independent Bankers' Bank"/>
    <s v="Springfield"/>
    <s v="IL"/>
    <n v="26820"/>
    <d v="2009-12-18T00:00:00"/>
    <d v="2010-01-14T00:00:00"/>
    <s v="S"/>
    <x v="0"/>
  </r>
  <r>
    <s v="New South Federal Savings Bank"/>
    <s v="Irondale"/>
    <s v="AL"/>
    <n v="32276"/>
    <d v="2009-12-18T00:00:00"/>
    <d v="2009-12-23T00:00:00"/>
    <s v="I"/>
    <x v="0"/>
  </r>
  <r>
    <s v="Citizens State Bank"/>
    <s v="New Baltimore"/>
    <s v="MI"/>
    <n v="1006"/>
    <d v="2009-12-18T00:00:00"/>
    <d v="2010-01-08T00:00:00"/>
    <s v="N"/>
    <x v="0"/>
  </r>
  <r>
    <s v="Peoples First Community Bank"/>
    <s v="Panama City"/>
    <s v="FL"/>
    <n v="32167"/>
    <d v="2009-12-18T00:00:00"/>
    <d v="2009-12-23T00:00:00"/>
    <s v="P"/>
    <x v="0"/>
  </r>
  <r>
    <s v="RockBridge Commercial Bank"/>
    <s v="Atlanta"/>
    <s v="GA"/>
    <n v="58315"/>
    <d v="2009-12-18T00:00:00"/>
    <d v="2009-12-22T00:00:00"/>
    <s v="A"/>
    <x v="0"/>
  </r>
  <r>
    <s v="SolutionsBank"/>
    <s v="Overland Park"/>
    <s v="KS"/>
    <n v="4731"/>
    <d v="2009-12-11T00:00:00"/>
    <d v="2009-12-15T00:00:00"/>
    <s v="O"/>
    <x v="0"/>
  </r>
  <r>
    <s v="Valley Capital Bank, N.A."/>
    <s v="Mesa"/>
    <s v="AZ"/>
    <n v="58399"/>
    <d v="2009-12-11T00:00:00"/>
    <d v="2009-12-15T00:00:00"/>
    <s v="M"/>
    <x v="0"/>
  </r>
  <r>
    <s v="Republic Federal Bank, N.A."/>
    <s v="Miami"/>
    <s v="FL"/>
    <n v="22846"/>
    <d v="2009-12-11T00:00:00"/>
    <d v="2009-12-15T00:00:00"/>
    <s v="M"/>
    <x v="0"/>
  </r>
  <r>
    <s v="Greater Atlantic Bank"/>
    <s v="Reston"/>
    <s v="VA"/>
    <n v="32583"/>
    <d v="2009-12-04T00:00:00"/>
    <d v="2009-12-15T00:00:00"/>
    <s v="R"/>
    <x v="0"/>
  </r>
  <r>
    <s v="Benchmark Bank"/>
    <s v="Aurora"/>
    <s v="IL"/>
    <n v="10440"/>
    <d v="2009-12-04T00:00:00"/>
    <d v="2009-12-08T00:00:00"/>
    <s v="A"/>
    <x v="0"/>
  </r>
  <r>
    <s v="AmTrust Bank"/>
    <s v="Cleveland"/>
    <s v="OH"/>
    <n v="29776"/>
    <d v="2009-12-04T00:00:00"/>
    <d v="2009-12-08T00:00:00"/>
    <s v="C"/>
    <x v="0"/>
  </r>
  <r>
    <s v="The Tattnall Bank"/>
    <s v="Reidsville"/>
    <s v="GA"/>
    <n v="12080"/>
    <d v="2009-12-04T00:00:00"/>
    <d v="2009-12-15T00:00:00"/>
    <s v="R"/>
    <x v="0"/>
  </r>
  <r>
    <s v="First Security National Bank"/>
    <s v="Norcross"/>
    <s v="GA"/>
    <n v="26290"/>
    <d v="2009-12-04T00:00:00"/>
    <d v="2009-12-08T00:00:00"/>
    <s v="N"/>
    <x v="0"/>
  </r>
  <r>
    <s v="The Buckhead Community Bank"/>
    <s v="Atlanta"/>
    <s v="GA"/>
    <n v="34663"/>
    <d v="2009-12-04T00:00:00"/>
    <d v="2009-12-15T00:00:00"/>
    <s v="A"/>
    <x v="0"/>
  </r>
  <r>
    <s v="Commerce Bank of Southwest Florida"/>
    <s v="Fort Myers"/>
    <s v="FL"/>
    <n v="58016"/>
    <d v="2009-11-20T00:00:00"/>
    <d v="2009-12-15T00:00:00"/>
    <s v="F"/>
    <x v="0"/>
  </r>
  <r>
    <s v="Pacific Coast National Bank"/>
    <s v="San Clemente"/>
    <s v="CA"/>
    <n v="57914"/>
    <d v="2009-11-13T00:00:00"/>
    <d v="2009-11-18T00:00:00"/>
    <s v="S"/>
    <x v="0"/>
  </r>
  <r>
    <s v="Orion Bank"/>
    <s v="Naples"/>
    <s v="FL"/>
    <n v="22427"/>
    <d v="2009-11-13T00:00:00"/>
    <d v="2009-12-15T00:00:00"/>
    <s v="N"/>
    <x v="0"/>
  </r>
  <r>
    <s v="Century Bank, F.S.B."/>
    <s v="Sarasota"/>
    <s v="FL"/>
    <n v="32267"/>
    <d v="2009-11-13T00:00:00"/>
    <d v="2009-12-15T00:00:00"/>
    <s v="S"/>
    <x v="0"/>
  </r>
  <r>
    <s v="United Commercial Bank"/>
    <s v="San Francisco"/>
    <s v="CA"/>
    <n v="32469"/>
    <d v="2009-11-06T00:00:00"/>
    <d v="2009-11-09T00:00:00"/>
    <s v="S"/>
    <x v="0"/>
  </r>
  <r>
    <s v="Gateway Bank of St. Louis"/>
    <s v="St. Louis"/>
    <s v="MO"/>
    <n v="19450"/>
    <d v="2009-11-06T00:00:00"/>
    <d v="2009-11-09T00:00:00"/>
    <s v="S"/>
    <x v="0"/>
  </r>
  <r>
    <s v="Prosperan Bank"/>
    <s v="Oakdale"/>
    <s v="MN"/>
    <n v="35074"/>
    <d v="2009-11-06T00:00:00"/>
    <d v="2009-11-09T00:00:00"/>
    <s v="O"/>
    <x v="0"/>
  </r>
  <r>
    <s v="Home Federal Savings Bank"/>
    <s v="Detroit"/>
    <s v="MI"/>
    <n v="30329"/>
    <d v="2009-11-06T00:00:00"/>
    <d v="2009-12-15T00:00:00"/>
    <s v="D"/>
    <x v="0"/>
  </r>
  <r>
    <s v="United Security Bank"/>
    <s v="Sparta"/>
    <s v="GA"/>
    <n v="22286"/>
    <d v="2009-11-06T00:00:00"/>
    <d v="2009-12-15T00:00:00"/>
    <s v="S"/>
    <x v="0"/>
  </r>
  <r>
    <s v="North Houston Bank"/>
    <s v="Houston"/>
    <s v="TX"/>
    <n v="18776"/>
    <d v="2009-10-30T00:00:00"/>
    <d v="2009-11-03T00:00:00"/>
    <s v="H"/>
    <x v="0"/>
  </r>
  <r>
    <s v="Madisonville State Bank"/>
    <s v="Madisonville"/>
    <s v="TX"/>
    <n v="33782"/>
    <d v="2009-10-30T00:00:00"/>
    <d v="2009-11-03T00:00:00"/>
    <s v="M"/>
    <x v="0"/>
  </r>
  <r>
    <s v="Citizens National Bank"/>
    <s v="Teague"/>
    <s v="TX"/>
    <n v="25222"/>
    <d v="2009-10-30T00:00:00"/>
    <d v="2009-11-03T00:00:00"/>
    <s v="T"/>
    <x v="0"/>
  </r>
  <r>
    <s v="Park National Bank"/>
    <s v="Chicago"/>
    <s v="IL"/>
    <n v="11677"/>
    <d v="2009-10-30T00:00:00"/>
    <d v="2009-11-03T00:00:00"/>
    <s v="C"/>
    <x v="0"/>
  </r>
  <r>
    <s v="Pacific National Bank"/>
    <s v="San Francisco"/>
    <s v="CA"/>
    <n v="30006"/>
    <d v="2009-10-30T00:00:00"/>
    <d v="2009-11-03T00:00:00"/>
    <s v="S"/>
    <x v="0"/>
  </r>
  <r>
    <s v="California National Bank"/>
    <s v="Los Angeles"/>
    <s v="CA"/>
    <n v="34659"/>
    <d v="2009-10-30T00:00:00"/>
    <d v="2009-11-03T00:00:00"/>
    <s v="L"/>
    <x v="0"/>
  </r>
  <r>
    <s v="San Diego National Bank"/>
    <s v="San Diego"/>
    <s v="CA"/>
    <n v="23594"/>
    <d v="2009-10-30T00:00:00"/>
    <d v="2009-11-03T00:00:00"/>
    <s v="S"/>
    <x v="0"/>
  </r>
  <r>
    <s v="Community Bank of Lemont"/>
    <s v="Lemont"/>
    <s v="IL"/>
    <n v="35291"/>
    <d v="2009-10-30T00:00:00"/>
    <d v="2009-11-03T00:00:00"/>
    <s v="L"/>
    <x v="0"/>
  </r>
  <r>
    <s v="Bank USA, N.A."/>
    <s v="Phoenix"/>
    <s v="AZ"/>
    <n v="32218"/>
    <d v="2009-10-30T00:00:00"/>
    <d v="2009-11-03T00:00:00"/>
    <s v="P"/>
    <x v="0"/>
  </r>
  <r>
    <s v="First DuPage Bank"/>
    <s v="Westmont"/>
    <s v="IL"/>
    <n v="35038"/>
    <d v="2009-10-23T00:00:00"/>
    <d v="2009-11-03T00:00:00"/>
    <s v="W"/>
    <x v="0"/>
  </r>
  <r>
    <s v="Riverview Community Bank"/>
    <s v="Otsego"/>
    <s v="MN"/>
    <n v="57525"/>
    <d v="2009-10-23T00:00:00"/>
    <d v="2009-11-03T00:00:00"/>
    <s v="O"/>
    <x v="0"/>
  </r>
  <r>
    <s v="Bank of Elmwood"/>
    <s v="Racine"/>
    <s v="WI"/>
    <n v="18321"/>
    <d v="2009-10-23T00:00:00"/>
    <d v="2009-11-03T00:00:00"/>
    <s v="R"/>
    <x v="0"/>
  </r>
  <r>
    <s v="Flagship National Bank"/>
    <s v="Bradenton"/>
    <s v="FL"/>
    <n v="35044"/>
    <d v="2009-10-23T00:00:00"/>
    <d v="2009-10-29T00:00:00"/>
    <s v="B"/>
    <x v="0"/>
  </r>
  <r>
    <s v="Hillcrest Bank Florida"/>
    <s v="Naples"/>
    <s v="FL"/>
    <n v="58336"/>
    <d v="2009-10-23T00:00:00"/>
    <d v="2009-10-28T00:00:00"/>
    <s v="N"/>
    <x v="0"/>
  </r>
  <r>
    <s v="American United Bank"/>
    <s v="Lawrenceville"/>
    <s v="GA"/>
    <n v="57794"/>
    <d v="2009-10-23T00:00:00"/>
    <d v="2009-10-28T00:00:00"/>
    <s v="L"/>
    <x v="0"/>
  </r>
  <r>
    <s v="Partners Bank"/>
    <s v="Naples"/>
    <s v="FL"/>
    <n v="57959"/>
    <d v="2009-10-23T00:00:00"/>
    <d v="2009-10-28T00:00:00"/>
    <s v="N"/>
    <x v="0"/>
  </r>
  <r>
    <s v="San Joaquin Bank"/>
    <s v="Bakersfield"/>
    <s v="CA"/>
    <n v="23266"/>
    <d v="2009-10-16T00:00:00"/>
    <d v="2009-10-21T00:00:00"/>
    <s v="B"/>
    <x v="0"/>
  </r>
  <r>
    <s v="Southern Colorado National Bank"/>
    <s v="Pueblo"/>
    <s v="CO"/>
    <n v="57263"/>
    <d v="2009-10-02T00:00:00"/>
    <d v="2009-10-20T00:00:00"/>
    <s v="P"/>
    <x v="0"/>
  </r>
  <r>
    <s v="Jennings State Bank"/>
    <s v="Spring Grove"/>
    <s v="MN"/>
    <n v="11416"/>
    <d v="2009-10-02T00:00:00"/>
    <d v="2009-10-20T00:00:00"/>
    <s v="S"/>
    <x v="0"/>
  </r>
  <r>
    <s v="Warren Bank"/>
    <s v="Warren"/>
    <s v="MI"/>
    <n v="34824"/>
    <d v="2009-10-02T00:00:00"/>
    <d v="2009-10-20T00:00:00"/>
    <s v="W"/>
    <x v="0"/>
  </r>
  <r>
    <s v="Georgian Bank"/>
    <s v="Atlanta"/>
    <s v="GA"/>
    <n v="57151"/>
    <d v="2009-09-25T00:00:00"/>
    <d v="2009-10-13T00:00:00"/>
    <s v="A"/>
    <x v="0"/>
  </r>
  <r>
    <s v="Irwin Union Bank, F.S.B."/>
    <s v="Louisville"/>
    <s v="KY"/>
    <n v="57068"/>
    <d v="2009-09-18T00:00:00"/>
    <d v="2009-09-22T00:00:00"/>
    <s v="L"/>
    <x v="0"/>
  </r>
  <r>
    <s v="Irwin Union Bank and Trust Company"/>
    <s v="Columbus"/>
    <s v="IN"/>
    <n v="10100"/>
    <d v="2009-09-18T00:00:00"/>
    <d v="2009-09-22T00:00:00"/>
    <s v="C"/>
    <x v="0"/>
  </r>
  <r>
    <s v="Venture Bank"/>
    <s v="Lacey"/>
    <s v="WA"/>
    <n v="22868"/>
    <d v="2009-09-11T00:00:00"/>
    <d v="2009-11-23T00:00:00"/>
    <s v="L"/>
    <x v="0"/>
  </r>
  <r>
    <s v="Brickwell Community Bank"/>
    <s v="Woodbury"/>
    <s v="MN"/>
    <n v="57736"/>
    <d v="2009-09-11T00:00:00"/>
    <d v="2009-11-23T00:00:00"/>
    <s v="W"/>
    <x v="0"/>
  </r>
  <r>
    <s v="Corus Bank, N.A."/>
    <s v="Chicago"/>
    <s v="IL"/>
    <n v="13693"/>
    <d v="2009-09-11T00:00:00"/>
    <d v="2009-11-23T00:00:00"/>
    <s v="C"/>
    <x v="0"/>
  </r>
  <r>
    <s v="First State Bank"/>
    <s v="Flagstaff"/>
    <s v="AZ"/>
    <n v="34875"/>
    <d v="2009-09-04T00:00:00"/>
    <d v="2009-11-23T00:00:00"/>
    <s v="F"/>
    <x v="0"/>
  </r>
  <r>
    <s v="Platinum Community Bank"/>
    <s v="Rolling Meadows"/>
    <s v="IL"/>
    <n v="35030"/>
    <d v="2009-09-04T00:00:00"/>
    <d v="2009-11-23T00:00:00"/>
    <s v="R"/>
    <x v="0"/>
  </r>
  <r>
    <s v="Vantus Bank"/>
    <s v="Sioux City"/>
    <s v="IA"/>
    <n v="27732"/>
    <d v="2009-09-04T00:00:00"/>
    <d v="2009-11-23T00:00:00"/>
    <s v="S"/>
    <x v="0"/>
  </r>
  <r>
    <s v="InBank"/>
    <s v="Oak Forest"/>
    <s v="IL"/>
    <n v="20203"/>
    <d v="2009-09-04T00:00:00"/>
    <d v="2009-11-23T00:00:00"/>
    <s v="O"/>
    <x v="0"/>
  </r>
  <r>
    <s v="First Bank of Kansas City"/>
    <s v="Kansas City"/>
    <s v="MO"/>
    <n v="25231"/>
    <d v="2009-09-04T00:00:00"/>
    <d v="2009-11-23T00:00:00"/>
    <s v="K"/>
    <x v="0"/>
  </r>
  <r>
    <s v="Affinity Bank"/>
    <s v="Ventura"/>
    <s v="CA"/>
    <n v="27197"/>
    <d v="2009-08-28T00:00:00"/>
    <d v="2009-11-23T00:00:00"/>
    <s v="V"/>
    <x v="0"/>
  </r>
  <r>
    <s v="Mainstreet Bank"/>
    <s v="Forest Lake"/>
    <s v="MN"/>
    <n v="1909"/>
    <d v="2009-08-28T00:00:00"/>
    <d v="2009-11-23T00:00:00"/>
    <s v="F"/>
    <x v="0"/>
  </r>
  <r>
    <s v="Bradford Bank"/>
    <s v="Baltimore"/>
    <s v="MD"/>
    <n v="28312"/>
    <d v="2009-08-28T00:00:00"/>
    <d v="2009-11-23T00:00:00"/>
    <s v="B"/>
    <x v="0"/>
  </r>
  <r>
    <s v="Guaranty Bank"/>
    <s v="Austin"/>
    <s v="TX"/>
    <n v="32618"/>
    <d v="2009-08-21T00:00:00"/>
    <d v="2009-11-23T00:00:00"/>
    <s v="A"/>
    <x v="0"/>
  </r>
  <r>
    <s v="CapitalSouth Bank"/>
    <s v="Birmingham"/>
    <s v="AL"/>
    <n v="22130"/>
    <d v="2009-08-21T00:00:00"/>
    <d v="2009-11-23T00:00:00"/>
    <s v="B"/>
    <x v="0"/>
  </r>
  <r>
    <s v="First Coweta Bank"/>
    <s v="Newnan"/>
    <s v="GA"/>
    <n v="57702"/>
    <d v="2009-08-21T00:00:00"/>
    <d v="2009-11-23T00:00:00"/>
    <s v="N"/>
    <x v="0"/>
  </r>
  <r>
    <s v="ebank"/>
    <s v="Atlanta"/>
    <s v="GA"/>
    <n v="34682"/>
    <d v="2009-08-21T00:00:00"/>
    <d v="2009-11-23T00:00:00"/>
    <s v="A"/>
    <x v="0"/>
  </r>
  <r>
    <s v="Community Bank of Nevada"/>
    <s v="Las Vegas"/>
    <s v="NV"/>
    <n v="34043"/>
    <d v="2009-08-14T00:00:00"/>
    <d v="2009-11-23T00:00:00"/>
    <s v="L"/>
    <x v="0"/>
  </r>
  <r>
    <s v="Community Bank of Arizona"/>
    <s v="Phoenix"/>
    <s v="AZ"/>
    <n v="57645"/>
    <d v="2009-08-14T00:00:00"/>
    <d v="2009-11-23T00:00:00"/>
    <s v="P"/>
    <x v="0"/>
  </r>
  <r>
    <s v="Union Bank, National Association"/>
    <s v="Gilbert"/>
    <s v="AZ"/>
    <n v="34485"/>
    <d v="2009-08-14T00:00:00"/>
    <d v="2009-11-23T00:00:00"/>
    <s v="G"/>
    <x v="0"/>
  </r>
  <r>
    <s v="Colonial Bank"/>
    <s v="Montgomery"/>
    <s v="AL"/>
    <n v="9609"/>
    <d v="2009-08-14T00:00:00"/>
    <d v="2009-11-23T00:00:00"/>
    <s v="M"/>
    <x v="0"/>
  </r>
  <r>
    <s v="Dwelling House Savings and Loan Association"/>
    <s v="Pittsburgh"/>
    <s v="PA"/>
    <n v="31559"/>
    <d v="2009-08-14T00:00:00"/>
    <d v="2009-11-23T00:00:00"/>
    <s v="P"/>
    <x v="0"/>
  </r>
  <r>
    <s v="Community First Bank"/>
    <s v="Prineville"/>
    <s v="OR"/>
    <n v="23268"/>
    <d v="2009-08-07T00:00:00"/>
    <d v="2009-11-23T00:00:00"/>
    <s v="P"/>
    <x v="0"/>
  </r>
  <r>
    <s v="Community National Bank of Sarasota County"/>
    <s v="Venice"/>
    <s v="FL"/>
    <n v="27183"/>
    <d v="2009-08-07T00:00:00"/>
    <d v="2009-11-23T00:00:00"/>
    <s v="V"/>
    <x v="0"/>
  </r>
  <r>
    <s v="First State Bank"/>
    <s v="Sarasota"/>
    <s v="FL"/>
    <n v="27364"/>
    <d v="2009-08-07T00:00:00"/>
    <d v="2009-11-23T00:00:00"/>
    <s v="S"/>
    <x v="0"/>
  </r>
  <r>
    <s v="Mutual Bank"/>
    <s v="Harvey"/>
    <s v="IL"/>
    <n v="18659"/>
    <d v="2009-07-31T00:00:00"/>
    <d v="2009-11-23T00:00:00"/>
    <s v="H"/>
    <x v="0"/>
  </r>
  <r>
    <s v="First BankAmericano"/>
    <s v="Elizabeth"/>
    <s v="NJ"/>
    <n v="34270"/>
    <d v="2009-07-31T00:00:00"/>
    <d v="2009-11-23T00:00:00"/>
    <s v="E"/>
    <x v="0"/>
  </r>
  <r>
    <s v="Peoples Community Bank"/>
    <s v="West Chester"/>
    <s v="OH"/>
    <n v="32288"/>
    <d v="2009-07-31T00:00:00"/>
    <d v="2009-11-23T00:00:00"/>
    <s v="W"/>
    <x v="0"/>
  </r>
  <r>
    <s v="Integrity Bank"/>
    <s v="Jupiter"/>
    <s v="FL"/>
    <n v="57604"/>
    <d v="2009-07-31T00:00:00"/>
    <d v="2009-11-23T00:00:00"/>
    <s v="J"/>
    <x v="0"/>
  </r>
  <r>
    <s v="First State Bank of Altus"/>
    <s v="Altus"/>
    <s v="OK"/>
    <n v="9873"/>
    <d v="2009-07-31T00:00:00"/>
    <d v="2009-11-23T00:00:00"/>
    <s v="A"/>
    <x v="0"/>
  </r>
  <r>
    <s v="Security Bank of Jones County"/>
    <s v="Gray"/>
    <s v="GA"/>
    <n v="8486"/>
    <d v="2009-07-24T00:00:00"/>
    <d v="2009-11-23T00:00:00"/>
    <s v="G"/>
    <x v="0"/>
  </r>
  <r>
    <s v="Security Bank of Houston County"/>
    <s v="Perry"/>
    <s v="GA"/>
    <n v="27048"/>
    <d v="2009-07-24T00:00:00"/>
    <d v="2009-11-23T00:00:00"/>
    <s v="P"/>
    <x v="0"/>
  </r>
  <r>
    <s v="Security Bank of Bibb County"/>
    <s v="Macon"/>
    <s v="GA"/>
    <n v="27367"/>
    <d v="2009-07-24T00:00:00"/>
    <d v="2009-11-23T00:00:00"/>
    <s v="M"/>
    <x v="0"/>
  </r>
  <r>
    <s v="Security Bank of North Metro"/>
    <s v="Woodstock"/>
    <s v="GA"/>
    <n v="57105"/>
    <d v="2009-07-24T00:00:00"/>
    <d v="2009-11-23T00:00:00"/>
    <s v="W"/>
    <x v="0"/>
  </r>
  <r>
    <s v="Security Bank of North Fulton"/>
    <s v="Alpharetta"/>
    <s v="GA"/>
    <n v="57430"/>
    <d v="2009-07-24T00:00:00"/>
    <d v="2009-11-23T00:00:00"/>
    <s v="A"/>
    <x v="0"/>
  </r>
  <r>
    <s v="Security Bank of Gwinnett County"/>
    <s v="Suwanee"/>
    <s v="GA"/>
    <n v="57346"/>
    <d v="2009-07-24T00:00:00"/>
    <d v="2009-11-23T00:00:00"/>
    <s v="S"/>
    <x v="0"/>
  </r>
  <r>
    <s v="Waterford Village Bank"/>
    <s v="Williamsville"/>
    <s v="NY"/>
    <n v="58065"/>
    <d v="2009-07-24T00:00:00"/>
    <d v="2009-11-23T00:00:00"/>
    <s v="W"/>
    <x v="0"/>
  </r>
  <r>
    <s v="Temecula Valley Bank"/>
    <s v="Temecula"/>
    <s v="CA"/>
    <n v="34341"/>
    <d v="2009-07-17T00:00:00"/>
    <d v="2009-11-23T00:00:00"/>
    <s v="T"/>
    <x v="0"/>
  </r>
  <r>
    <s v="Vineyard Bank"/>
    <s v="Rancho Cucamonga"/>
    <s v="CA"/>
    <n v="23556"/>
    <d v="2009-07-17T00:00:00"/>
    <d v="2009-11-23T00:00:00"/>
    <s v="R"/>
    <x v="0"/>
  </r>
  <r>
    <s v="BankFirst"/>
    <s v="Sioux Falls"/>
    <s v="SD"/>
    <n v="34103"/>
    <d v="2009-07-17T00:00:00"/>
    <d v="2009-11-23T00:00:00"/>
    <s v="S"/>
    <x v="0"/>
  </r>
  <r>
    <s v="First Piedmont Bank"/>
    <s v="Winder"/>
    <s v="GA"/>
    <n v="34594"/>
    <d v="2009-07-17T00:00:00"/>
    <d v="2009-11-23T00:00:00"/>
    <s v="W"/>
    <x v="0"/>
  </r>
  <r>
    <s v="Bank of Wyoming"/>
    <s v="Thermopolis"/>
    <s v="WY"/>
    <n v="22754"/>
    <d v="2009-07-10T00:00:00"/>
    <d v="2009-11-23T00:00:00"/>
    <s v="T"/>
    <x v="0"/>
  </r>
  <r>
    <s v="Founders Bank"/>
    <s v="Worth"/>
    <s v="IL"/>
    <n v="18390"/>
    <d v="2009-07-02T00:00:00"/>
    <d v="2009-11-23T00:00:00"/>
    <s v="W"/>
    <x v="1"/>
  </r>
  <r>
    <s v="Millennium State Bank of Texas"/>
    <s v="Dallas"/>
    <s v="TX"/>
    <n v="57667"/>
    <d v="2009-07-02T00:00:00"/>
    <d v="2009-11-23T00:00:00"/>
    <s v="D"/>
    <x v="1"/>
  </r>
  <r>
    <s v="First National Bank of Danville"/>
    <s v="Danville"/>
    <s v="IL"/>
    <n v="3644"/>
    <d v="2009-07-02T00:00:00"/>
    <d v="2009-11-23T00:00:00"/>
    <s v="D"/>
    <x v="1"/>
  </r>
  <r>
    <s v="Elizabeth State Bank"/>
    <s v="Elizabeth"/>
    <s v="IL"/>
    <n v="9262"/>
    <d v="2009-07-02T00:00:00"/>
    <d v="2009-11-23T00:00:00"/>
    <s v="E"/>
    <x v="1"/>
  </r>
  <r>
    <s v="Rock River Bank"/>
    <s v="Oregon"/>
    <s v="IL"/>
    <n v="15302"/>
    <d v="2009-07-02T00:00:00"/>
    <d v="2009-11-23T00:00:00"/>
    <s v="O"/>
    <x v="1"/>
  </r>
  <r>
    <s v="First State Bank of Winchester"/>
    <s v="Winchester"/>
    <s v="IL"/>
    <n v="11710"/>
    <d v="2009-07-02T00:00:00"/>
    <d v="2009-11-23T00:00:00"/>
    <s v="W"/>
    <x v="1"/>
  </r>
  <r>
    <s v="John Warner Bank"/>
    <s v="Clinton"/>
    <s v="IL"/>
    <n v="12093"/>
    <d v="2009-07-02T00:00:00"/>
    <d v="2009-11-23T00:00:00"/>
    <s v="C"/>
    <x v="1"/>
  </r>
  <r>
    <s v="Mirae Bank"/>
    <s v="Los Angeles"/>
    <s v="CA"/>
    <n v="57332"/>
    <d v="2009-06-26T00:00:00"/>
    <d v="2009-11-23T00:00:00"/>
    <s v="L"/>
    <x v="0"/>
  </r>
  <r>
    <s v="MetroPacific Bank"/>
    <s v="Irvine"/>
    <s v="CA"/>
    <n v="57893"/>
    <d v="2009-06-26T00:00:00"/>
    <d v="2009-11-23T00:00:00"/>
    <s v="I"/>
    <x v="0"/>
  </r>
  <r>
    <s v="Horizon Bank"/>
    <s v="Pine City"/>
    <s v="MN"/>
    <n v="9744"/>
    <d v="2009-06-26T00:00:00"/>
    <d v="2009-11-23T00:00:00"/>
    <s v="P"/>
    <x v="0"/>
  </r>
  <r>
    <s v="Neighborhood Community Bank"/>
    <s v="Newnan"/>
    <s v="GA"/>
    <n v="35285"/>
    <d v="2009-06-26T00:00:00"/>
    <d v="2009-11-23T00:00:00"/>
    <s v="N"/>
    <x v="0"/>
  </r>
  <r>
    <s v="Community Bank of West Georgia"/>
    <s v="Villa Rica"/>
    <s v="GA"/>
    <n v="57436"/>
    <d v="2009-06-26T00:00:00"/>
    <d v="2009-11-23T00:00:00"/>
    <s v="V"/>
    <x v="0"/>
  </r>
  <r>
    <s v="First National Bank of Anthony"/>
    <s v="Anthony"/>
    <s v="KS"/>
    <n v="4614"/>
    <d v="2009-06-19T00:00:00"/>
    <d v="2009-11-23T00:00:00"/>
    <s v="A"/>
    <x v="0"/>
  </r>
  <r>
    <s v="Cooperative Bank"/>
    <s v="Wilmington"/>
    <s v="NC"/>
    <n v="27837"/>
    <d v="2009-06-19T00:00:00"/>
    <d v="2009-11-23T00:00:00"/>
    <s v="W"/>
    <x v="0"/>
  </r>
  <r>
    <s v="Southern Community Bank"/>
    <s v="Fayetteville"/>
    <s v="GA"/>
    <n v="35251"/>
    <d v="2009-06-19T00:00:00"/>
    <d v="2009-11-23T00:00:00"/>
    <s v="F"/>
    <x v="0"/>
  </r>
  <r>
    <s v="Bank of Lincolnwood"/>
    <s v="Lincolnwood"/>
    <s v="IL"/>
    <n v="17309"/>
    <d v="2009-06-05T00:00:00"/>
    <d v="2009-11-23T00:00:00"/>
    <s v="L"/>
    <x v="0"/>
  </r>
  <r>
    <s v="Citizens National Bank"/>
    <s v="Macomb"/>
    <s v="IL"/>
    <n v="5757"/>
    <d v="2009-05-22T00:00:00"/>
    <d v="2009-11-23T00:00:00"/>
    <s v="M"/>
    <x v="0"/>
  </r>
  <r>
    <s v="Strategic Capital Bank"/>
    <s v="Champaign"/>
    <s v="IL"/>
    <n v="35175"/>
    <d v="2009-05-22T00:00:00"/>
    <d v="2009-11-23T00:00:00"/>
    <s v="C"/>
    <x v="0"/>
  </r>
  <r>
    <s v="BankUnited, FSB"/>
    <s v="Coral Gables"/>
    <s v="FL"/>
    <n v="32247"/>
    <d v="2009-05-21T00:00:00"/>
    <d v="2009-11-23T00:00:00"/>
    <s v="C"/>
    <x v="1"/>
  </r>
  <r>
    <s v="Westsound Bank"/>
    <s v="Bremerton"/>
    <s v="WA"/>
    <n v="34843"/>
    <d v="2009-05-08T00:00:00"/>
    <d v="2009-11-23T00:00:00"/>
    <s v="B"/>
    <x v="0"/>
  </r>
  <r>
    <s v="America West Bank"/>
    <s v="Layton"/>
    <s v="UT"/>
    <n v="35461"/>
    <d v="2009-05-01T00:00:00"/>
    <d v="2009-11-23T00:00:00"/>
    <s v="L"/>
    <x v="0"/>
  </r>
  <r>
    <s v="Citizens Community Bank"/>
    <s v="Ridgewood"/>
    <s v="NJ"/>
    <n v="57563"/>
    <d v="2009-05-01T00:00:00"/>
    <d v="2009-11-23T00:00:00"/>
    <s v="R"/>
    <x v="0"/>
  </r>
  <r>
    <s v="Silverton Bank, NA"/>
    <s v="Atlanta"/>
    <s v="GA"/>
    <n v="26535"/>
    <d v="2009-05-01T00:00:00"/>
    <d v="2009-11-23T00:00:00"/>
    <s v="A"/>
    <x v="0"/>
  </r>
  <r>
    <s v="First Bank of Idaho"/>
    <s v="Ketchum"/>
    <s v="ID"/>
    <n v="34396"/>
    <d v="2009-04-24T00:00:00"/>
    <d v="2009-11-23T00:00:00"/>
    <s v="K"/>
    <x v="0"/>
  </r>
  <r>
    <s v="First Bank of Beverly Hills"/>
    <s v="Calabasas"/>
    <s v="CA"/>
    <n v="32069"/>
    <d v="2009-04-24T00:00:00"/>
    <d v="2009-11-23T00:00:00"/>
    <s v="C"/>
    <x v="0"/>
  </r>
  <r>
    <s v="Michigan Heritage Bank"/>
    <s v="Farmington Hills"/>
    <s v="MI"/>
    <n v="34369"/>
    <d v="2009-04-24T00:00:00"/>
    <d v="2009-11-23T00:00:00"/>
    <s v="F"/>
    <x v="0"/>
  </r>
  <r>
    <s v="American Southern Bank"/>
    <s v="Kennesaw"/>
    <s v="GA"/>
    <n v="57943"/>
    <d v="2009-04-24T00:00:00"/>
    <d v="2009-11-23T00:00:00"/>
    <s v="K"/>
    <x v="0"/>
  </r>
  <r>
    <s v="Great Basin Bank of Nevada"/>
    <s v="Elko"/>
    <s v="NV"/>
    <n v="33824"/>
    <d v="2009-04-17T00:00:00"/>
    <d v="2009-11-23T00:00:00"/>
    <s v="E"/>
    <x v="0"/>
  </r>
  <r>
    <s v="American Sterling Bank"/>
    <s v="Sugar Creek"/>
    <s v="MO"/>
    <n v="8266"/>
    <d v="2009-04-17T00:00:00"/>
    <d v="2009-11-23T00:00:00"/>
    <s v="S"/>
    <x v="0"/>
  </r>
  <r>
    <s v="New Frontier Bank"/>
    <s v="Greeley"/>
    <s v="CO"/>
    <n v="34881"/>
    <d v="2009-04-10T00:00:00"/>
    <d v="2009-12-23T00:00:00"/>
    <s v="G"/>
    <x v="0"/>
  </r>
  <r>
    <s v="Cape Fear Bank"/>
    <s v="Wilmington"/>
    <s v="NC"/>
    <n v="34639"/>
    <d v="2009-04-10T00:00:00"/>
    <d v="2009-11-23T00:00:00"/>
    <s v="W"/>
    <x v="0"/>
  </r>
  <r>
    <s v="Omni National Bank"/>
    <s v="Atlanta"/>
    <s v="GA"/>
    <n v="22238"/>
    <d v="2009-03-27T00:00:00"/>
    <d v="2009-11-23T00:00:00"/>
    <s v="A"/>
    <x v="0"/>
  </r>
  <r>
    <s v="TeamBank, NA"/>
    <s v="Paola"/>
    <s v="KS"/>
    <n v="4754"/>
    <d v="2009-03-20T00:00:00"/>
    <d v="2009-11-23T00:00:00"/>
    <s v="P"/>
    <x v="0"/>
  </r>
  <r>
    <s v="Colorado National Bank"/>
    <s v="Colorado Springs"/>
    <s v="CO"/>
    <n v="18896"/>
    <d v="2009-03-20T00:00:00"/>
    <d v="2009-11-23T00:00:00"/>
    <s v="C"/>
    <x v="0"/>
  </r>
  <r>
    <s v="FirstCity Bank"/>
    <s v="Stockbridge"/>
    <s v="GA"/>
    <n v="18243"/>
    <d v="2009-03-20T00:00:00"/>
    <d v="2009-11-23T00:00:00"/>
    <s v="S"/>
    <x v="0"/>
  </r>
  <r>
    <s v="Freedom Bank of Georgia"/>
    <s v="Commerce"/>
    <s v="GA"/>
    <n v="57558"/>
    <d v="2009-03-06T00:00:00"/>
    <d v="2009-11-23T00:00:00"/>
    <s v="C"/>
    <x v="0"/>
  </r>
  <r>
    <s v="Security Savings Bank"/>
    <s v="Henderson"/>
    <s v="NV"/>
    <n v="34820"/>
    <d v="2009-02-27T00:00:00"/>
    <d v="2009-11-23T00:00:00"/>
    <s v="H"/>
    <x v="0"/>
  </r>
  <r>
    <s v="Heritage Community Bank"/>
    <s v="Glenwood"/>
    <s v="IL"/>
    <n v="20078"/>
    <d v="2009-02-27T00:00:00"/>
    <d v="2009-11-23T00:00:00"/>
    <s v="G"/>
    <x v="0"/>
  </r>
  <r>
    <s v="Silver Falls Bank"/>
    <s v="Silverton"/>
    <s v="OR"/>
    <n v="35399"/>
    <d v="2009-02-20T00:00:00"/>
    <d v="2009-11-23T00:00:00"/>
    <s v="S"/>
    <x v="0"/>
  </r>
  <r>
    <s v="Pinnacle Bank of Oregon"/>
    <s v="Beaverton"/>
    <s v="OR"/>
    <n v="57342"/>
    <d v="2009-02-13T00:00:00"/>
    <d v="2009-11-23T00:00:00"/>
    <s v="B"/>
    <x v="0"/>
  </r>
  <r>
    <s v="Corn Belt Bank &amp; Trust Co."/>
    <s v="Pittsfield"/>
    <s v="IL"/>
    <n v="16500"/>
    <d v="2009-02-13T00:00:00"/>
    <d v="2009-11-23T00:00:00"/>
    <s v="P"/>
    <x v="0"/>
  </r>
  <r>
    <s v="Riverside Bank of the Gulf Coast"/>
    <s v="Cape Coral"/>
    <s v="FL"/>
    <n v="34563"/>
    <d v="2009-02-13T00:00:00"/>
    <d v="2009-11-23T00:00:00"/>
    <s v="C"/>
    <x v="0"/>
  </r>
  <r>
    <s v="Sherman County Bank"/>
    <s v="Loup City"/>
    <s v="NE"/>
    <n v="5431"/>
    <d v="2009-02-13T00:00:00"/>
    <d v="2009-11-23T00:00:00"/>
    <s v="L"/>
    <x v="0"/>
  </r>
  <r>
    <s v="County Bank"/>
    <s v="Merced"/>
    <s v="CA"/>
    <n v="22574"/>
    <d v="2009-02-06T00:00:00"/>
    <d v="2009-11-23T00:00:00"/>
    <s v="M"/>
    <x v="0"/>
  </r>
  <r>
    <s v="Alliance Bank"/>
    <s v="Culver City"/>
    <s v="CA"/>
    <n v="23124"/>
    <d v="2009-02-06T00:00:00"/>
    <d v="2009-11-23T00:00:00"/>
    <s v="C"/>
    <x v="0"/>
  </r>
  <r>
    <s v="FirstBank Financial Services"/>
    <s v="McDonough"/>
    <s v="GA"/>
    <n v="57017"/>
    <d v="2009-02-06T00:00:00"/>
    <d v="2009-11-23T00:00:00"/>
    <s v="M"/>
    <x v="0"/>
  </r>
  <r>
    <s v="Ocala National Bank"/>
    <s v="Ocala"/>
    <s v="FL"/>
    <n v="26538"/>
    <d v="2009-01-30T00:00:00"/>
    <d v="2009-11-23T00:00:00"/>
    <s v="O"/>
    <x v="0"/>
  </r>
  <r>
    <s v="Suburban FSB"/>
    <s v="Crofton"/>
    <s v="MD"/>
    <n v="30763"/>
    <d v="2009-01-30T00:00:00"/>
    <d v="2009-11-23T00:00:00"/>
    <s v="C"/>
    <x v="0"/>
  </r>
  <r>
    <s v="MagnetBank"/>
    <s v="Salt Lake City"/>
    <s v="UT"/>
    <n v="58001"/>
    <d v="2009-01-30T00:00:00"/>
    <d v="2009-11-23T00:00:00"/>
    <s v="S"/>
    <x v="0"/>
  </r>
  <r>
    <s v="1st Centennial Bank"/>
    <s v="Redlands"/>
    <s v="CA"/>
    <n v="33025"/>
    <d v="2009-01-23T00:00:00"/>
    <d v="2009-11-23T00:00:00"/>
    <s v="R"/>
    <x v="0"/>
  </r>
  <r>
    <s v="Bank of Clark County"/>
    <s v="Vancouver"/>
    <s v="WA"/>
    <n v="34959"/>
    <d v="2009-01-16T00:00:00"/>
    <d v="2009-11-23T00:00:00"/>
    <s v="V"/>
    <x v="0"/>
  </r>
  <r>
    <s v="National Bank of Commerce"/>
    <s v="Berkeley"/>
    <s v="IL"/>
    <n v="19733"/>
    <d v="2009-01-16T00:00:00"/>
    <d v="2009-11-23T00:00:00"/>
    <s v="B"/>
    <x v="0"/>
  </r>
  <r>
    <s v="Sanderson State Bank"/>
    <s v="Sanderson"/>
    <s v="TX"/>
    <n v="11568"/>
    <d v="2008-12-12T00:00:00"/>
    <d v="2009-11-23T00:00:00"/>
    <s v="S"/>
    <x v="0"/>
  </r>
  <r>
    <s v="Haven Trust Bank"/>
    <s v="Duluth"/>
    <s v="GA"/>
    <n v="35379"/>
    <d v="2008-12-12T00:00:00"/>
    <d v="2009-11-23T00:00:00"/>
    <s v="D"/>
    <x v="0"/>
  </r>
  <r>
    <s v="First Georgia Community Bank"/>
    <s v="Jackson"/>
    <s v="GA"/>
    <n v="34301"/>
    <d v="2008-12-05T00:00:00"/>
    <d v="2009-11-23T00:00:00"/>
    <s v="J"/>
    <x v="0"/>
  </r>
  <r>
    <s v="PFF Bank &amp; Trust "/>
    <s v="Pomona"/>
    <s v="CA"/>
    <n v="28344"/>
    <d v="2008-11-21T00:00:00"/>
    <d v="2009-11-23T00:00:00"/>
    <s v="P"/>
    <x v="0"/>
  </r>
  <r>
    <s v="Downey Savings &amp; Loan"/>
    <s v="Newport Beach"/>
    <s v="CA"/>
    <n v="30968"/>
    <d v="2008-11-21T00:00:00"/>
    <d v="2009-11-23T00:00:00"/>
    <s v="N"/>
    <x v="0"/>
  </r>
  <r>
    <s v="Community Bank"/>
    <s v="Loganville"/>
    <s v="GA"/>
    <n v="16490"/>
    <d v="2008-11-21T00:00:00"/>
    <d v="2009-11-23T00:00:00"/>
    <s v="L"/>
    <x v="0"/>
  </r>
  <r>
    <s v="Security Pacific Bank"/>
    <s v="Los Angeles"/>
    <s v="CA"/>
    <n v="23595"/>
    <d v="2008-11-07T00:00:00"/>
    <d v="2009-11-23T00:00:00"/>
    <s v="L"/>
    <x v="0"/>
  </r>
  <r>
    <s v="Franklin Bank, SSB"/>
    <s v="Houston"/>
    <s v="TX"/>
    <n v="26870"/>
    <d v="2008-11-07T00:00:00"/>
    <d v="2009-11-23T00:00:00"/>
    <s v="H"/>
    <x v="0"/>
  </r>
  <r>
    <s v="Freedom Bank"/>
    <s v="Bradenton"/>
    <s v="FL"/>
    <n v="57930"/>
    <d v="2008-10-31T00:00:00"/>
    <d v="2009-11-23T00:00:00"/>
    <s v="B"/>
    <x v="0"/>
  </r>
  <r>
    <s v="Alpha Bank &amp; Trust"/>
    <s v="Alpharetta"/>
    <s v="GA"/>
    <n v="58241"/>
    <d v="2008-10-24T00:00:00"/>
    <d v="2009-11-23T00:00:00"/>
    <s v="A"/>
    <x v="0"/>
  </r>
  <r>
    <s v="Meridian Bank"/>
    <s v="Eldred"/>
    <s v="IL"/>
    <n v="13789"/>
    <d v="2008-10-10T00:00:00"/>
    <d v="2009-11-23T00:00:00"/>
    <s v="E"/>
    <x v="0"/>
  </r>
  <r>
    <s v="Main Street Bank"/>
    <s v="Northville"/>
    <s v="MI"/>
    <n v="57654"/>
    <d v="2008-10-10T00:00:00"/>
    <d v="2009-11-23T00:00:00"/>
    <s v="N"/>
    <x v="0"/>
  </r>
  <r>
    <s v="Washington Mutual Bank"/>
    <s v="Henderson"/>
    <s v="NV"/>
    <n v="32633"/>
    <d v="2008-09-25T00:00:00"/>
    <d v="2009-11-23T00:00:00"/>
    <s v="H"/>
    <x v="1"/>
  </r>
  <r>
    <s v="Washington Mutual Bank FSB"/>
    <s v="Park City"/>
    <s v="UT"/>
    <n v="32633"/>
    <d v="2008-09-25T00:00:00"/>
    <d v="2009-11-23T00:00:00"/>
    <s v="P"/>
    <x v="1"/>
  </r>
  <r>
    <s v="Ameribank"/>
    <s v="Northfork"/>
    <s v="WV"/>
    <n v="6782"/>
    <d v="2008-09-19T00:00:00"/>
    <d v="2009-11-23T00:00:00"/>
    <s v="N"/>
    <x v="0"/>
  </r>
  <r>
    <s v="Silver State Bank"/>
    <s v="Henderson"/>
    <s v="NV"/>
    <n v="34194"/>
    <d v="2008-09-05T00:00:00"/>
    <d v="2009-11-23T00:00:00"/>
    <s v="H"/>
    <x v="0"/>
  </r>
  <r>
    <s v="Integrity Bank"/>
    <s v="Alpharetta"/>
    <s v="GA"/>
    <n v="35469"/>
    <d v="2008-08-29T00:00:00"/>
    <d v="2009-11-23T00:00:00"/>
    <s v="A"/>
    <x v="0"/>
  </r>
  <r>
    <s v="Columbian Bank &amp; Trust"/>
    <s v="Topeka"/>
    <s v="KS"/>
    <n v="22728"/>
    <d v="2008-08-22T00:00:00"/>
    <d v="2009-11-23T00:00:00"/>
    <s v="T"/>
    <x v="0"/>
  </r>
  <r>
    <s v="First Priority Bank"/>
    <s v="Bradenton"/>
    <s v="FL"/>
    <n v="57523"/>
    <d v="2008-08-01T00:00:00"/>
    <d v="2009-11-23T00:00:00"/>
    <s v="B"/>
    <x v="0"/>
  </r>
  <r>
    <s v="First Heritage Bank, NA"/>
    <s v="Newport Beach"/>
    <s v="CA"/>
    <n v="57961"/>
    <d v="2008-07-25T00:00:00"/>
    <d v="2009-11-23T00:00:00"/>
    <s v="N"/>
    <x v="0"/>
  </r>
  <r>
    <s v="First National Bank of Nevada"/>
    <s v="Reno"/>
    <s v="NV"/>
    <n v="27011"/>
    <d v="2008-07-25T00:00:00"/>
    <d v="2009-11-23T00:00:00"/>
    <s v="R"/>
    <x v="0"/>
  </r>
  <r>
    <s v="IndyMac Bank"/>
    <s v="Pasadena"/>
    <s v="CA"/>
    <n v="29730"/>
    <d v="2008-07-11T00:00:00"/>
    <d v="2009-11-23T00:00:00"/>
    <s v="P"/>
    <x v="0"/>
  </r>
  <r>
    <s v="First Integrity Bank, NA"/>
    <s v="Staples"/>
    <s v="MN"/>
    <n v="12736"/>
    <d v="2008-05-30T00:00:00"/>
    <d v="2009-11-23T00:00:00"/>
    <s v="S"/>
    <x v="0"/>
  </r>
  <r>
    <s v="ANB Financial, NA"/>
    <s v="Bentonville"/>
    <s v="AR"/>
    <n v="33901"/>
    <d v="2008-05-09T00:00:00"/>
    <d v="2009-11-23T00:00:00"/>
    <s v="B"/>
    <x v="0"/>
  </r>
  <r>
    <s v="Hume Bank"/>
    <s v="Hume"/>
    <s v="MO"/>
    <n v="1971"/>
    <d v="2008-03-07T00:00:00"/>
    <d v="2009-11-23T00:00:00"/>
    <s v="H"/>
    <x v="0"/>
  </r>
  <r>
    <s v="Douglass National Bank"/>
    <s v="Kansas City"/>
    <s v="MO"/>
    <n v="24660"/>
    <d v="2008-01-25T00:00:00"/>
    <d v="2009-11-23T00:00:00"/>
    <s v="K"/>
    <x v="0"/>
  </r>
  <r>
    <s v="Miami Valley Bank"/>
    <s v="Lakeview"/>
    <s v="OH"/>
    <n v="16848"/>
    <d v="2007-10-04T00:00:00"/>
    <d v="2009-11-23T00:00:00"/>
    <s v="L"/>
    <x v="1"/>
  </r>
  <r>
    <s v="NetBank"/>
    <s v="Alpharetta"/>
    <s v="GA"/>
    <n v="32575"/>
    <d v="2007-09-28T00:00:00"/>
    <d v="2009-11-23T00:00:00"/>
    <s v="A"/>
    <x v="0"/>
  </r>
  <r>
    <s v="Metropolitan Savings Bank"/>
    <s v="Pittsburgh"/>
    <s v="PA"/>
    <n v="35353"/>
    <d v="2007-02-02T00:00:00"/>
    <d v="2009-11-23T00:00:00"/>
    <s v="P"/>
    <x v="0"/>
  </r>
  <r>
    <s v="Bank of Ephraim"/>
    <s v="Ephraim"/>
    <s v="UT"/>
    <n v="1249"/>
    <d v="2004-06-25T00:00:00"/>
    <d v="2008-04-09T00:00:00"/>
    <s v="E"/>
    <x v="0"/>
  </r>
  <r>
    <s v="Reliance Bank"/>
    <s v="White Plains"/>
    <s v="NY"/>
    <n v="26778"/>
    <d v="2004-03-19T00:00:00"/>
    <d v="2008-04-09T00:00:00"/>
    <s v="W"/>
    <x v="0"/>
  </r>
  <r>
    <s v="Guaranty National Bank of Tallahassee"/>
    <s v="Tallahassee"/>
    <s v="FL"/>
    <n v="26838"/>
    <d v="2004-03-12T00:00:00"/>
    <d v="2009-11-23T00:00:00"/>
    <s v="T"/>
    <x v="0"/>
  </r>
  <r>
    <s v="Dollar Savings Bank"/>
    <s v="Newark"/>
    <s v="NJ"/>
    <n v="31330"/>
    <d v="2004-02-14T00:00:00"/>
    <d v="2008-04-09T00:00:00"/>
    <s v="N"/>
    <x v="2"/>
  </r>
  <r>
    <s v="Pulaski Savings Bank"/>
    <s v="Philadelphia"/>
    <s v="PA"/>
    <n v="27203"/>
    <d v="2003-11-14T00:00:00"/>
    <d v="2005-07-22T00:00:00"/>
    <s v="P"/>
    <x v="0"/>
  </r>
  <r>
    <s v="First National Bank of Blanchardville"/>
    <s v="Blanchardville"/>
    <s v="WI"/>
    <n v="11639"/>
    <d v="2003-05-09T00:00:00"/>
    <d v="2009-08-06T00:00:00"/>
    <s v="B"/>
    <x v="0"/>
  </r>
  <r>
    <s v="Southern Pacific Bank"/>
    <s v="Torrance"/>
    <s v="CA"/>
    <n v="27094"/>
    <d v="2003-02-07T00:00:00"/>
    <d v="2008-10-20T00:00:00"/>
    <s v="T"/>
    <x v="0"/>
  </r>
  <r>
    <s v="Farmers Bank of Cheneyville"/>
    <s v="Cheneyville"/>
    <s v="LA"/>
    <n v="16445"/>
    <d v="2002-12-17T00:00:00"/>
    <d v="2004-10-20T00:00:00"/>
    <s v="C"/>
    <x v="3"/>
  </r>
  <r>
    <s v="Bank of Alamo"/>
    <s v="Alamo"/>
    <s v="TN"/>
    <n v="9961"/>
    <d v="2002-11-08T00:00:00"/>
    <d v="2005-03-18T00:00:00"/>
    <s v="A"/>
    <x v="0"/>
  </r>
  <r>
    <s v="AmTrade International Bank"/>
    <s v="Atlanta"/>
    <s v="GA"/>
    <n v="33784"/>
    <d v="2002-09-30T00:00:00"/>
    <d v="2006-09-11T00:00:00"/>
    <s v="A"/>
    <x v="4"/>
  </r>
  <r>
    <s v="Universal Federal Savings Bank"/>
    <s v="Chicago"/>
    <s v="IL"/>
    <n v="29355"/>
    <d v="2002-06-27T00:00:00"/>
    <d v="2008-04-09T00:00:00"/>
    <s v="C"/>
    <x v="1"/>
  </r>
  <r>
    <s v="Connecticut Bank of Commerce"/>
    <s v="Stamford"/>
    <s v="CT"/>
    <n v="19183"/>
    <d v="2002-06-26T00:00:00"/>
    <d v="2009-11-23T00:00:00"/>
    <s v="S"/>
    <x v="5"/>
  </r>
  <r>
    <s v="New Century Bank"/>
    <s v="Shelby Township"/>
    <s v="MI"/>
    <n v="34979"/>
    <d v="2002-03-28T00:00:00"/>
    <d v="2005-03-18T00:00:00"/>
    <s v="S"/>
    <x v="1"/>
  </r>
  <r>
    <s v="Net 1st National Bank"/>
    <s v="Boca Raton"/>
    <s v="FL"/>
    <n v="26652"/>
    <d v="2002-03-01T00:00:00"/>
    <d v="2008-04-09T00:00:00"/>
    <s v="B"/>
    <x v="0"/>
  </r>
  <r>
    <s v="NextBank, NA"/>
    <s v="Phoenix"/>
    <s v="AZ"/>
    <n v="22314"/>
    <d v="2002-02-07T00:00:00"/>
    <d v="2009-11-23T00:00:00"/>
    <s v="P"/>
    <x v="1"/>
  </r>
  <r>
    <s v="Oakwood Deposit Bank Co."/>
    <s v="Oakwood"/>
    <s v="OH"/>
    <n v="8966"/>
    <d v="2002-02-01T00:00:00"/>
    <d v="2009-11-23T00:00:00"/>
    <s v="O"/>
    <x v="0"/>
  </r>
  <r>
    <s v="Bank of Sierra Blanca"/>
    <s v="Sierra Blanca"/>
    <s v="TX"/>
    <n v="22002"/>
    <d v="2002-01-18T00:00:00"/>
    <d v="2003-11-06T00:00:00"/>
    <s v="S"/>
    <x v="0"/>
  </r>
  <r>
    <s v="Hamilton Bank, NA"/>
    <s v="Miami"/>
    <s v="FL"/>
    <n v="24382"/>
    <d v="2002-01-11T00:00:00"/>
    <d v="2009-11-23T00:00:00"/>
    <s v="M"/>
    <x v="0"/>
  </r>
  <r>
    <s v="Sinclair National Bank"/>
    <s v="Gravette"/>
    <s v="AR"/>
    <n v="34248"/>
    <d v="2001-09-07T00:00:00"/>
    <d v="2004-02-10T00:00:00"/>
    <s v="G"/>
    <x v="0"/>
  </r>
  <r>
    <s v="Superior Bank, FSB"/>
    <s v="Hinsdale"/>
    <s v="IL"/>
    <n v="32646"/>
    <d v="2001-07-27T00:00:00"/>
    <d v="2009-11-23T00:00:00"/>
    <s v="H"/>
    <x v="0"/>
  </r>
  <r>
    <s v="Malta National Bank"/>
    <s v="Malta"/>
    <s v="OH"/>
    <n v="6629"/>
    <d v="2001-05-03T00:00:00"/>
    <d v="2002-11-18T00:00:00"/>
    <s v="M"/>
    <x v="1"/>
  </r>
  <r>
    <s v="First Alliance Bank &amp; Trust Co."/>
    <s v="Manchester"/>
    <s v="NH"/>
    <n v="34264"/>
    <d v="2001-02-02T00:00:00"/>
    <d v="2003-02-18T00:00:00"/>
    <s v="M"/>
    <x v="0"/>
  </r>
  <r>
    <s v="National State Bank of Metropolis"/>
    <s v="Metropolis"/>
    <s v="IL"/>
    <n v="3815"/>
    <d v="2000-12-14T00:00:00"/>
    <d v="2005-03-17T00:00:00"/>
    <s v="M"/>
    <x v="1"/>
  </r>
  <r>
    <s v="Bank of Honolulu"/>
    <s v="Honolulu"/>
    <s v="HI"/>
    <n v="21029"/>
    <d v="2000-10-13T00:00:00"/>
    <d v="2005-03-17T00:00:00"/>
    <s v="H"/>
    <x v="0"/>
  </r>
</pivotCacheRecords>
</file>

<file path=xl/pivotCache/pivotCacheRecords3.xml><?xml version="1.0" encoding="utf-8"?>
<pivotCacheRecords xmlns="http://schemas.openxmlformats.org/spreadsheetml/2006/main" xmlns:r="http://schemas.openxmlformats.org/officeDocument/2006/relationships" count="197">
  <r>
    <s v="Barnes Banking Company"/>
    <s v="Kaysville"/>
    <s v="UT"/>
    <n v="1252"/>
    <d v="2010-01-15T00:00:00"/>
    <d v="2010-01-19T00:00:00"/>
    <x v="0"/>
  </r>
  <r>
    <s v="St. Stephen State Bank"/>
    <s v="St. Stephen"/>
    <s v="MN"/>
    <n v="17522"/>
    <d v="2010-01-15T00:00:00"/>
    <d v="2010-01-19T00:00:00"/>
    <x v="1"/>
  </r>
  <r>
    <s v="Town Community Bank &amp; Trust"/>
    <s v="Antioch"/>
    <s v="IL"/>
    <n v="34705"/>
    <d v="2010-01-15T00:00:00"/>
    <d v="2010-01-19T00:00:00"/>
    <x v="2"/>
  </r>
  <r>
    <s v="Horizon Bank"/>
    <s v="Bellingham"/>
    <s v="WA"/>
    <n v="22977"/>
    <d v="2010-01-08T00:00:00"/>
    <d v="2010-01-12T00:00:00"/>
    <x v="3"/>
  </r>
  <r>
    <s v="First Federal Bank of California, F.S.B."/>
    <s v="Santa Monica"/>
    <s v="CA"/>
    <n v="28536"/>
    <d v="2009-12-18T00:00:00"/>
    <d v="2009-12-23T00:00:00"/>
    <x v="1"/>
  </r>
  <r>
    <s v="Imperial Capital Bank"/>
    <s v="La Jolla"/>
    <s v="CA"/>
    <n v="26348"/>
    <d v="2009-12-18T00:00:00"/>
    <d v="2009-12-23T00:00:00"/>
    <x v="4"/>
  </r>
  <r>
    <s v="Independent Bankers' Bank"/>
    <s v="Springfield"/>
    <s v="IL"/>
    <n v="26820"/>
    <d v="2009-12-18T00:00:00"/>
    <d v="2010-01-14T00:00:00"/>
    <x v="1"/>
  </r>
  <r>
    <s v="New South Federal Savings Bank"/>
    <s v="Irondale"/>
    <s v="AL"/>
    <n v="32276"/>
    <d v="2009-12-18T00:00:00"/>
    <d v="2009-12-23T00:00:00"/>
    <x v="5"/>
  </r>
  <r>
    <s v="Citizens State Bank"/>
    <s v="New Baltimore"/>
    <s v="MI"/>
    <n v="1006"/>
    <d v="2009-12-18T00:00:00"/>
    <d v="2010-01-08T00:00:00"/>
    <x v="6"/>
  </r>
  <r>
    <s v="Peoples First Community Bank"/>
    <s v="Panama City"/>
    <s v="FL"/>
    <n v="32167"/>
    <d v="2009-12-18T00:00:00"/>
    <d v="2009-12-23T00:00:00"/>
    <x v="7"/>
  </r>
  <r>
    <s v="RockBridge Commercial Bank"/>
    <s v="Atlanta"/>
    <s v="GA"/>
    <n v="58315"/>
    <d v="2009-12-18T00:00:00"/>
    <d v="2009-12-22T00:00:00"/>
    <x v="2"/>
  </r>
  <r>
    <s v="SolutionsBank"/>
    <s v="Overland Park"/>
    <s v="KS"/>
    <n v="4731"/>
    <d v="2009-12-11T00:00:00"/>
    <d v="2009-12-15T00:00:00"/>
    <x v="8"/>
  </r>
  <r>
    <s v="Valley Capital Bank, N.A."/>
    <s v="Mesa"/>
    <s v="AZ"/>
    <n v="58399"/>
    <d v="2009-12-11T00:00:00"/>
    <d v="2009-12-15T00:00:00"/>
    <x v="9"/>
  </r>
  <r>
    <s v="Republic Federal Bank, N.A."/>
    <s v="Miami"/>
    <s v="FL"/>
    <n v="22846"/>
    <d v="2009-12-11T00:00:00"/>
    <d v="2009-12-15T00:00:00"/>
    <x v="9"/>
  </r>
  <r>
    <s v="Greater Atlantic Bank"/>
    <s v="Reston"/>
    <s v="VA"/>
    <n v="32583"/>
    <d v="2009-12-04T00:00:00"/>
    <d v="2009-12-15T00:00:00"/>
    <x v="10"/>
  </r>
  <r>
    <s v="Benchmark Bank"/>
    <s v="Aurora"/>
    <s v="IL"/>
    <n v="10440"/>
    <d v="2009-12-04T00:00:00"/>
    <d v="2009-12-08T00:00:00"/>
    <x v="2"/>
  </r>
  <r>
    <s v="AmTrust Bank"/>
    <s v="Cleveland"/>
    <s v="OH"/>
    <n v="29776"/>
    <d v="2009-12-04T00:00:00"/>
    <d v="2009-12-08T00:00:00"/>
    <x v="11"/>
  </r>
  <r>
    <s v="The Tattnall Bank"/>
    <s v="Reidsville"/>
    <s v="GA"/>
    <n v="12080"/>
    <d v="2009-12-04T00:00:00"/>
    <d v="2009-12-15T00:00:00"/>
    <x v="10"/>
  </r>
  <r>
    <s v="First Security National Bank"/>
    <s v="Norcross"/>
    <s v="GA"/>
    <n v="26290"/>
    <d v="2009-12-04T00:00:00"/>
    <d v="2009-12-08T00:00:00"/>
    <x v="6"/>
  </r>
  <r>
    <s v="The Buckhead Community Bank"/>
    <s v="Atlanta"/>
    <s v="GA"/>
    <n v="34663"/>
    <d v="2009-12-04T00:00:00"/>
    <d v="2009-12-15T00:00:00"/>
    <x v="2"/>
  </r>
  <r>
    <s v="Commerce Bank of Southwest Florida"/>
    <s v="Fort Myers"/>
    <s v="FL"/>
    <n v="58016"/>
    <d v="2009-11-20T00:00:00"/>
    <d v="2009-12-15T00:00:00"/>
    <x v="12"/>
  </r>
  <r>
    <s v="Pacific Coast National Bank"/>
    <s v="San Clemente"/>
    <s v="CA"/>
    <n v="57914"/>
    <d v="2009-11-13T00:00:00"/>
    <d v="2009-11-18T00:00:00"/>
    <x v="1"/>
  </r>
  <r>
    <s v="Orion Bank"/>
    <s v="Naples"/>
    <s v="FL"/>
    <n v="22427"/>
    <d v="2009-11-13T00:00:00"/>
    <d v="2009-12-15T00:00:00"/>
    <x v="6"/>
  </r>
  <r>
    <s v="Century Bank, F.S.B."/>
    <s v="Sarasota"/>
    <s v="FL"/>
    <n v="32267"/>
    <d v="2009-11-13T00:00:00"/>
    <d v="2009-12-15T00:00:00"/>
    <x v="1"/>
  </r>
  <r>
    <s v="United Commercial Bank"/>
    <s v="San Francisco"/>
    <s v="CA"/>
    <n v="32469"/>
    <d v="2009-11-06T00:00:00"/>
    <d v="2009-11-09T00:00:00"/>
    <x v="1"/>
  </r>
  <r>
    <s v="Gateway Bank of St. Louis"/>
    <s v="St. Louis"/>
    <s v="MO"/>
    <n v="19450"/>
    <d v="2009-11-06T00:00:00"/>
    <d v="2009-11-09T00:00:00"/>
    <x v="1"/>
  </r>
  <r>
    <s v="Prosperan Bank"/>
    <s v="Oakdale"/>
    <s v="MN"/>
    <n v="35074"/>
    <d v="2009-11-06T00:00:00"/>
    <d v="2009-11-09T00:00:00"/>
    <x v="8"/>
  </r>
  <r>
    <s v="Home Federal Savings Bank"/>
    <s v="Detroit"/>
    <s v="MI"/>
    <n v="30329"/>
    <d v="2009-11-06T00:00:00"/>
    <d v="2009-12-15T00:00:00"/>
    <x v="13"/>
  </r>
  <r>
    <s v="United Security Bank"/>
    <s v="Sparta"/>
    <s v="GA"/>
    <n v="22286"/>
    <d v="2009-11-06T00:00:00"/>
    <d v="2009-12-15T00:00:00"/>
    <x v="1"/>
  </r>
  <r>
    <s v="North Houston Bank"/>
    <s v="Houston"/>
    <s v="TX"/>
    <n v="18776"/>
    <d v="2009-10-30T00:00:00"/>
    <d v="2009-11-03T00:00:00"/>
    <x v="14"/>
  </r>
  <r>
    <s v="Madisonville State Bank"/>
    <s v="Madisonville"/>
    <s v="TX"/>
    <n v="33782"/>
    <d v="2009-10-30T00:00:00"/>
    <d v="2009-11-03T00:00:00"/>
    <x v="9"/>
  </r>
  <r>
    <s v="Citizens National Bank"/>
    <s v="Teague"/>
    <s v="TX"/>
    <n v="25222"/>
    <d v="2009-10-30T00:00:00"/>
    <d v="2009-11-03T00:00:00"/>
    <x v="15"/>
  </r>
  <r>
    <s v="Park National Bank"/>
    <s v="Chicago"/>
    <s v="IL"/>
    <n v="11677"/>
    <d v="2009-10-30T00:00:00"/>
    <d v="2009-11-03T00:00:00"/>
    <x v="11"/>
  </r>
  <r>
    <s v="Pacific National Bank"/>
    <s v="San Francisco"/>
    <s v="CA"/>
    <n v="30006"/>
    <d v="2009-10-30T00:00:00"/>
    <d v="2009-11-03T00:00:00"/>
    <x v="1"/>
  </r>
  <r>
    <s v="California National Bank"/>
    <s v="Los Angeles"/>
    <s v="CA"/>
    <n v="34659"/>
    <d v="2009-10-30T00:00:00"/>
    <d v="2009-11-03T00:00:00"/>
    <x v="4"/>
  </r>
  <r>
    <s v="San Diego National Bank"/>
    <s v="San Diego"/>
    <s v="CA"/>
    <n v="23594"/>
    <d v="2009-10-30T00:00:00"/>
    <d v="2009-11-03T00:00:00"/>
    <x v="1"/>
  </r>
  <r>
    <s v="Community Bank of Lemont"/>
    <s v="Lemont"/>
    <s v="IL"/>
    <n v="35291"/>
    <d v="2009-10-30T00:00:00"/>
    <d v="2009-11-03T00:00:00"/>
    <x v="4"/>
  </r>
  <r>
    <s v="Bank USA, N.A."/>
    <s v="Phoenix"/>
    <s v="AZ"/>
    <n v="32218"/>
    <d v="2009-10-30T00:00:00"/>
    <d v="2009-11-03T00:00:00"/>
    <x v="7"/>
  </r>
  <r>
    <s v="First DuPage Bank"/>
    <s v="Westmont"/>
    <s v="IL"/>
    <n v="35038"/>
    <d v="2009-10-23T00:00:00"/>
    <d v="2009-11-03T00:00:00"/>
    <x v="16"/>
  </r>
  <r>
    <s v="Riverview Community Bank"/>
    <s v="Otsego"/>
    <s v="MN"/>
    <n v="57525"/>
    <d v="2009-10-23T00:00:00"/>
    <d v="2009-11-03T00:00:00"/>
    <x v="8"/>
  </r>
  <r>
    <s v="Bank of Elmwood"/>
    <s v="Racine"/>
    <s v="WI"/>
    <n v="18321"/>
    <d v="2009-10-23T00:00:00"/>
    <d v="2009-11-03T00:00:00"/>
    <x v="10"/>
  </r>
  <r>
    <s v="Flagship National Bank"/>
    <s v="Bradenton"/>
    <s v="FL"/>
    <n v="35044"/>
    <d v="2009-10-23T00:00:00"/>
    <d v="2009-10-29T00:00:00"/>
    <x v="3"/>
  </r>
  <r>
    <s v="Hillcrest Bank Florida"/>
    <s v="Naples"/>
    <s v="FL"/>
    <n v="58336"/>
    <d v="2009-10-23T00:00:00"/>
    <d v="2009-10-28T00:00:00"/>
    <x v="6"/>
  </r>
  <r>
    <s v="American United Bank"/>
    <s v="Lawrenceville"/>
    <s v="GA"/>
    <n v="57794"/>
    <d v="2009-10-23T00:00:00"/>
    <d v="2009-10-28T00:00:00"/>
    <x v="4"/>
  </r>
  <r>
    <s v="Partners Bank"/>
    <s v="Naples"/>
    <s v="FL"/>
    <n v="57959"/>
    <d v="2009-10-23T00:00:00"/>
    <d v="2009-10-28T00:00:00"/>
    <x v="6"/>
  </r>
  <r>
    <s v="San Joaquin Bank"/>
    <s v="Bakersfield"/>
    <s v="CA"/>
    <n v="23266"/>
    <d v="2009-10-16T00:00:00"/>
    <d v="2009-10-21T00:00:00"/>
    <x v="3"/>
  </r>
  <r>
    <s v="Southern Colorado National Bank"/>
    <s v="Pueblo"/>
    <s v="CO"/>
    <n v="57263"/>
    <d v="2009-10-02T00:00:00"/>
    <d v="2009-10-20T00:00:00"/>
    <x v="7"/>
  </r>
  <r>
    <s v="Jennings State Bank"/>
    <s v="Spring Grove"/>
    <s v="MN"/>
    <n v="11416"/>
    <d v="2009-10-02T00:00:00"/>
    <d v="2009-10-20T00:00:00"/>
    <x v="1"/>
  </r>
  <r>
    <s v="Warren Bank"/>
    <s v="Warren"/>
    <s v="MI"/>
    <n v="34824"/>
    <d v="2009-10-02T00:00:00"/>
    <d v="2009-10-20T00:00:00"/>
    <x v="16"/>
  </r>
  <r>
    <s v="Georgian Bank"/>
    <s v="Atlanta"/>
    <s v="GA"/>
    <n v="57151"/>
    <d v="2009-09-25T00:00:00"/>
    <d v="2009-10-13T00:00:00"/>
    <x v="2"/>
  </r>
  <r>
    <s v="Irwin Union Bank, F.S.B."/>
    <s v="Louisville"/>
    <s v="KY"/>
    <n v="57068"/>
    <d v="2009-09-18T00:00:00"/>
    <d v="2009-09-22T00:00:00"/>
    <x v="4"/>
  </r>
  <r>
    <s v="Irwin Union Bank and Trust Company"/>
    <s v="Columbus"/>
    <s v="IN"/>
    <n v="10100"/>
    <d v="2009-09-18T00:00:00"/>
    <d v="2009-09-22T00:00:00"/>
    <x v="11"/>
  </r>
  <r>
    <s v="Venture Bank"/>
    <s v="Lacey"/>
    <s v="WA"/>
    <n v="22868"/>
    <d v="2009-09-11T00:00:00"/>
    <d v="2009-11-23T00:00:00"/>
    <x v="4"/>
  </r>
  <r>
    <s v="Brickwell Community Bank"/>
    <s v="Woodbury"/>
    <s v="MN"/>
    <n v="57736"/>
    <d v="2009-09-11T00:00:00"/>
    <d v="2009-11-23T00:00:00"/>
    <x v="16"/>
  </r>
  <r>
    <s v="Corus Bank, N.A."/>
    <s v="Chicago"/>
    <s v="IL"/>
    <n v="13693"/>
    <d v="2009-09-11T00:00:00"/>
    <d v="2009-11-23T00:00:00"/>
    <x v="11"/>
  </r>
  <r>
    <s v="First State Bank"/>
    <s v="Flagstaff"/>
    <s v="AZ"/>
    <n v="34875"/>
    <d v="2009-09-04T00:00:00"/>
    <d v="2009-11-23T00:00:00"/>
    <x v="12"/>
  </r>
  <r>
    <s v="Platinum Community Bank"/>
    <s v="Rolling Meadows"/>
    <s v="IL"/>
    <n v="35030"/>
    <d v="2009-09-04T00:00:00"/>
    <d v="2009-11-23T00:00:00"/>
    <x v="10"/>
  </r>
  <r>
    <s v="Vantus Bank"/>
    <s v="Sioux City"/>
    <s v="IA"/>
    <n v="27732"/>
    <d v="2009-09-04T00:00:00"/>
    <d v="2009-11-23T00:00:00"/>
    <x v="1"/>
  </r>
  <r>
    <s v="InBank"/>
    <s v="Oak Forest"/>
    <s v="IL"/>
    <n v="20203"/>
    <d v="2009-09-04T00:00:00"/>
    <d v="2009-11-23T00:00:00"/>
    <x v="8"/>
  </r>
  <r>
    <s v="First Bank of Kansas City"/>
    <s v="Kansas City"/>
    <s v="MO"/>
    <n v="25231"/>
    <d v="2009-09-04T00:00:00"/>
    <d v="2009-11-23T00:00:00"/>
    <x v="0"/>
  </r>
  <r>
    <s v="Affinity Bank"/>
    <s v="Ventura"/>
    <s v="CA"/>
    <n v="27197"/>
    <d v="2009-08-28T00:00:00"/>
    <d v="2009-11-23T00:00:00"/>
    <x v="17"/>
  </r>
  <r>
    <s v="Mainstreet Bank"/>
    <s v="Forest Lake"/>
    <s v="MN"/>
    <n v="1909"/>
    <d v="2009-08-28T00:00:00"/>
    <d v="2009-11-23T00:00:00"/>
    <x v="12"/>
  </r>
  <r>
    <s v="Bradford Bank"/>
    <s v="Baltimore"/>
    <s v="MD"/>
    <n v="28312"/>
    <d v="2009-08-28T00:00:00"/>
    <d v="2009-11-23T00:00:00"/>
    <x v="3"/>
  </r>
  <r>
    <s v="Guaranty Bank"/>
    <s v="Austin"/>
    <s v="TX"/>
    <n v="32618"/>
    <d v="2009-08-21T00:00:00"/>
    <d v="2009-11-23T00:00:00"/>
    <x v="2"/>
  </r>
  <r>
    <s v="CapitalSouth Bank"/>
    <s v="Birmingham"/>
    <s v="AL"/>
    <n v="22130"/>
    <d v="2009-08-21T00:00:00"/>
    <d v="2009-11-23T00:00:00"/>
    <x v="3"/>
  </r>
  <r>
    <s v="First Coweta Bank"/>
    <s v="Newnan"/>
    <s v="GA"/>
    <n v="57702"/>
    <d v="2009-08-21T00:00:00"/>
    <d v="2009-11-23T00:00:00"/>
    <x v="6"/>
  </r>
  <r>
    <s v="ebank"/>
    <s v="Atlanta"/>
    <s v="GA"/>
    <n v="34682"/>
    <d v="2009-08-21T00:00:00"/>
    <d v="2009-11-23T00:00:00"/>
    <x v="2"/>
  </r>
  <r>
    <s v="Community Bank of Nevada"/>
    <s v="Las Vegas"/>
    <s v="NV"/>
    <n v="34043"/>
    <d v="2009-08-14T00:00:00"/>
    <d v="2009-11-23T00:00:00"/>
    <x v="4"/>
  </r>
  <r>
    <s v="Community Bank of Arizona"/>
    <s v="Phoenix"/>
    <s v="AZ"/>
    <n v="57645"/>
    <d v="2009-08-14T00:00:00"/>
    <d v="2009-11-23T00:00:00"/>
    <x v="7"/>
  </r>
  <r>
    <s v="Union Bank, National Association"/>
    <s v="Gilbert"/>
    <s v="AZ"/>
    <n v="34485"/>
    <d v="2009-08-14T00:00:00"/>
    <d v="2009-11-23T00:00:00"/>
    <x v="18"/>
  </r>
  <r>
    <s v="Colonial Bank"/>
    <s v="Montgomery"/>
    <s v="AL"/>
    <n v="9609"/>
    <d v="2009-08-14T00:00:00"/>
    <d v="2009-11-23T00:00:00"/>
    <x v="9"/>
  </r>
  <r>
    <s v="Dwelling House Savings and Loan Association"/>
    <s v="Pittsburgh"/>
    <s v="PA"/>
    <n v="31559"/>
    <d v="2009-08-14T00:00:00"/>
    <d v="2009-11-23T00:00:00"/>
    <x v="7"/>
  </r>
  <r>
    <s v="Community First Bank"/>
    <s v="Prineville"/>
    <s v="OR"/>
    <n v="23268"/>
    <d v="2009-08-07T00:00:00"/>
    <d v="2009-11-23T00:00:00"/>
    <x v="7"/>
  </r>
  <r>
    <s v="Community National Bank of Sarasota County"/>
    <s v="Venice"/>
    <s v="FL"/>
    <n v="27183"/>
    <d v="2009-08-07T00:00:00"/>
    <d v="2009-11-23T00:00:00"/>
    <x v="17"/>
  </r>
  <r>
    <s v="First State Bank"/>
    <s v="Sarasota"/>
    <s v="FL"/>
    <n v="27364"/>
    <d v="2009-08-07T00:00:00"/>
    <d v="2009-11-23T00:00:00"/>
    <x v="1"/>
  </r>
  <r>
    <s v="Mutual Bank"/>
    <s v="Harvey"/>
    <s v="IL"/>
    <n v="18659"/>
    <d v="2009-07-31T00:00:00"/>
    <d v="2009-11-23T00:00:00"/>
    <x v="14"/>
  </r>
  <r>
    <s v="First BankAmericano"/>
    <s v="Elizabeth"/>
    <s v="NJ"/>
    <n v="34270"/>
    <d v="2009-07-31T00:00:00"/>
    <d v="2009-11-23T00:00:00"/>
    <x v="19"/>
  </r>
  <r>
    <s v="Peoples Community Bank"/>
    <s v="West Chester"/>
    <s v="OH"/>
    <n v="32288"/>
    <d v="2009-07-31T00:00:00"/>
    <d v="2009-11-23T00:00:00"/>
    <x v="16"/>
  </r>
  <r>
    <s v="Integrity Bank"/>
    <s v="Jupiter"/>
    <s v="FL"/>
    <n v="57604"/>
    <d v="2009-07-31T00:00:00"/>
    <d v="2009-11-23T00:00:00"/>
    <x v="20"/>
  </r>
  <r>
    <s v="First State Bank of Altus"/>
    <s v="Altus"/>
    <s v="OK"/>
    <n v="9873"/>
    <d v="2009-07-31T00:00:00"/>
    <d v="2009-11-23T00:00:00"/>
    <x v="2"/>
  </r>
  <r>
    <s v="Security Bank of Jones County"/>
    <s v="Gray"/>
    <s v="GA"/>
    <n v="8486"/>
    <d v="2009-07-24T00:00:00"/>
    <d v="2009-11-23T00:00:00"/>
    <x v="18"/>
  </r>
  <r>
    <s v="Security Bank of Houston County"/>
    <s v="Perry"/>
    <s v="GA"/>
    <n v="27048"/>
    <d v="2009-07-24T00:00:00"/>
    <d v="2009-11-23T00:00:00"/>
    <x v="7"/>
  </r>
  <r>
    <s v="Security Bank of Bibb County"/>
    <s v="Macon"/>
    <s v="GA"/>
    <n v="27367"/>
    <d v="2009-07-24T00:00:00"/>
    <d v="2009-11-23T00:00:00"/>
    <x v="9"/>
  </r>
  <r>
    <s v="Security Bank of North Metro"/>
    <s v="Woodstock"/>
    <s v="GA"/>
    <n v="57105"/>
    <d v="2009-07-24T00:00:00"/>
    <d v="2009-11-23T00:00:00"/>
    <x v="16"/>
  </r>
  <r>
    <s v="Security Bank of North Fulton"/>
    <s v="Alpharetta"/>
    <s v="GA"/>
    <n v="57430"/>
    <d v="2009-07-24T00:00:00"/>
    <d v="2009-11-23T00:00:00"/>
    <x v="2"/>
  </r>
  <r>
    <s v="Security Bank of Gwinnett County"/>
    <s v="Suwanee"/>
    <s v="GA"/>
    <n v="57346"/>
    <d v="2009-07-24T00:00:00"/>
    <d v="2009-11-23T00:00:00"/>
    <x v="1"/>
  </r>
  <r>
    <s v="Waterford Village Bank"/>
    <s v="Williamsville"/>
    <s v="NY"/>
    <n v="58065"/>
    <d v="2009-07-24T00:00:00"/>
    <d v="2009-11-23T00:00:00"/>
    <x v="16"/>
  </r>
  <r>
    <s v="Temecula Valley Bank"/>
    <s v="Temecula"/>
    <s v="CA"/>
    <n v="34341"/>
    <d v="2009-07-17T00:00:00"/>
    <d v="2009-11-23T00:00:00"/>
    <x v="15"/>
  </r>
  <r>
    <s v="Vineyard Bank"/>
    <s v="Rancho Cucamonga"/>
    <s v="CA"/>
    <n v="23556"/>
    <d v="2009-07-17T00:00:00"/>
    <d v="2009-11-23T00:00:00"/>
    <x v="10"/>
  </r>
  <r>
    <s v="BankFirst"/>
    <s v="Sioux Falls"/>
    <s v="SD"/>
    <n v="34103"/>
    <d v="2009-07-17T00:00:00"/>
    <d v="2009-11-23T00:00:00"/>
    <x v="1"/>
  </r>
  <r>
    <s v="First Piedmont Bank"/>
    <s v="Winder"/>
    <s v="GA"/>
    <n v="34594"/>
    <d v="2009-07-17T00:00:00"/>
    <d v="2009-11-23T00:00:00"/>
    <x v="16"/>
  </r>
  <r>
    <s v="Bank of Wyoming"/>
    <s v="Thermopolis"/>
    <s v="WY"/>
    <n v="22754"/>
    <d v="2009-07-10T00:00:00"/>
    <d v="2009-11-23T00:00:00"/>
    <x v="15"/>
  </r>
  <r>
    <s v="Founders Bank"/>
    <s v="Worth"/>
    <s v="IL"/>
    <n v="18390"/>
    <d v="2009-07-02T00:00:00"/>
    <d v="2009-11-23T00:00:00"/>
    <x v="16"/>
  </r>
  <r>
    <s v="Millennium State Bank of Texas"/>
    <s v="Dallas"/>
    <s v="TX"/>
    <n v="57667"/>
    <d v="2009-07-02T00:00:00"/>
    <d v="2009-11-23T00:00:00"/>
    <x v="13"/>
  </r>
  <r>
    <s v="First National Bank of Danville"/>
    <s v="Danville"/>
    <s v="IL"/>
    <n v="3644"/>
    <d v="2009-07-02T00:00:00"/>
    <d v="2009-11-23T00:00:00"/>
    <x v="13"/>
  </r>
  <r>
    <s v="Elizabeth State Bank"/>
    <s v="Elizabeth"/>
    <s v="IL"/>
    <n v="9262"/>
    <d v="2009-07-02T00:00:00"/>
    <d v="2009-11-23T00:00:00"/>
    <x v="19"/>
  </r>
  <r>
    <s v="Rock River Bank"/>
    <s v="Oregon"/>
    <s v="IL"/>
    <n v="15302"/>
    <d v="2009-07-02T00:00:00"/>
    <d v="2009-11-23T00:00:00"/>
    <x v="8"/>
  </r>
  <r>
    <s v="First State Bank of Winchester"/>
    <s v="Winchester"/>
    <s v="IL"/>
    <n v="11710"/>
    <d v="2009-07-02T00:00:00"/>
    <d v="2009-11-23T00:00:00"/>
    <x v="16"/>
  </r>
  <r>
    <s v="John Warner Bank"/>
    <s v="Clinton"/>
    <s v="IL"/>
    <n v="12093"/>
    <d v="2009-07-02T00:00:00"/>
    <d v="2009-11-23T00:00:00"/>
    <x v="11"/>
  </r>
  <r>
    <s v="Mirae Bank"/>
    <s v="Los Angeles"/>
    <s v="CA"/>
    <n v="57332"/>
    <d v="2009-06-26T00:00:00"/>
    <d v="2009-11-23T00:00:00"/>
    <x v="4"/>
  </r>
  <r>
    <s v="MetroPacific Bank"/>
    <s v="Irvine"/>
    <s v="CA"/>
    <n v="57893"/>
    <d v="2009-06-26T00:00:00"/>
    <d v="2009-11-23T00:00:00"/>
    <x v="5"/>
  </r>
  <r>
    <s v="Horizon Bank"/>
    <s v="Pine City"/>
    <s v="MN"/>
    <n v="9744"/>
    <d v="2009-06-26T00:00:00"/>
    <d v="2009-11-23T00:00:00"/>
    <x v="7"/>
  </r>
  <r>
    <s v="Neighborhood Community Bank"/>
    <s v="Newnan"/>
    <s v="GA"/>
    <n v="35285"/>
    <d v="2009-06-26T00:00:00"/>
    <d v="2009-11-23T00:00:00"/>
    <x v="6"/>
  </r>
  <r>
    <s v="Community Bank of West Georgia"/>
    <s v="Villa Rica"/>
    <s v="GA"/>
    <n v="57436"/>
    <d v="2009-06-26T00:00:00"/>
    <d v="2009-11-23T00:00:00"/>
    <x v="17"/>
  </r>
  <r>
    <s v="First National Bank of Anthony"/>
    <s v="Anthony"/>
    <s v="KS"/>
    <n v="4614"/>
    <d v="2009-06-19T00:00:00"/>
    <d v="2009-11-23T00:00:00"/>
    <x v="2"/>
  </r>
  <r>
    <s v="Cooperative Bank"/>
    <s v="Wilmington"/>
    <s v="NC"/>
    <n v="27837"/>
    <d v="2009-06-19T00:00:00"/>
    <d v="2009-11-23T00:00:00"/>
    <x v="16"/>
  </r>
  <r>
    <s v="Southern Community Bank"/>
    <s v="Fayetteville"/>
    <s v="GA"/>
    <n v="35251"/>
    <d v="2009-06-19T00:00:00"/>
    <d v="2009-11-23T00:00:00"/>
    <x v="12"/>
  </r>
  <r>
    <s v="Bank of Lincolnwood"/>
    <s v="Lincolnwood"/>
    <s v="IL"/>
    <n v="17309"/>
    <d v="2009-06-05T00:00:00"/>
    <d v="2009-11-23T00:00:00"/>
    <x v="4"/>
  </r>
  <r>
    <s v="Citizens National Bank"/>
    <s v="Macomb"/>
    <s v="IL"/>
    <n v="5757"/>
    <d v="2009-05-22T00:00:00"/>
    <d v="2009-11-23T00:00:00"/>
    <x v="9"/>
  </r>
  <r>
    <s v="Strategic Capital Bank"/>
    <s v="Champaign"/>
    <s v="IL"/>
    <n v="35175"/>
    <d v="2009-05-22T00:00:00"/>
    <d v="2009-11-23T00:00:00"/>
    <x v="11"/>
  </r>
  <r>
    <s v="BankUnited, FSB"/>
    <s v="Coral Gables"/>
    <s v="FL"/>
    <n v="32247"/>
    <d v="2009-05-21T00:00:00"/>
    <d v="2009-11-23T00:00:00"/>
    <x v="11"/>
  </r>
  <r>
    <s v="Westsound Bank"/>
    <s v="Bremerton"/>
    <s v="WA"/>
    <n v="34843"/>
    <d v="2009-05-08T00:00:00"/>
    <d v="2009-11-23T00:00:00"/>
    <x v="3"/>
  </r>
  <r>
    <s v="America West Bank"/>
    <s v="Layton"/>
    <s v="UT"/>
    <n v="35461"/>
    <d v="2009-05-01T00:00:00"/>
    <d v="2009-11-23T00:00:00"/>
    <x v="4"/>
  </r>
  <r>
    <s v="Citizens Community Bank"/>
    <s v="Ridgewood"/>
    <s v="NJ"/>
    <n v="57563"/>
    <d v="2009-05-01T00:00:00"/>
    <d v="2009-11-23T00:00:00"/>
    <x v="10"/>
  </r>
  <r>
    <s v="Silverton Bank, NA"/>
    <s v="Atlanta"/>
    <s v="GA"/>
    <n v="26535"/>
    <d v="2009-05-01T00:00:00"/>
    <d v="2009-11-23T00:00:00"/>
    <x v="2"/>
  </r>
  <r>
    <s v="First Bank of Idaho"/>
    <s v="Ketchum"/>
    <s v="ID"/>
    <n v="34396"/>
    <d v="2009-04-24T00:00:00"/>
    <d v="2009-11-23T00:00:00"/>
    <x v="0"/>
  </r>
  <r>
    <s v="First Bank of Beverly Hills"/>
    <s v="Calabasas"/>
    <s v="CA"/>
    <n v="32069"/>
    <d v="2009-04-24T00:00:00"/>
    <d v="2009-11-23T00:00:00"/>
    <x v="11"/>
  </r>
  <r>
    <s v="Michigan Heritage Bank"/>
    <s v="Farmington Hills"/>
    <s v="MI"/>
    <n v="34369"/>
    <d v="2009-04-24T00:00:00"/>
    <d v="2009-11-23T00:00:00"/>
    <x v="12"/>
  </r>
  <r>
    <s v="American Southern Bank"/>
    <s v="Kennesaw"/>
    <s v="GA"/>
    <n v="57943"/>
    <d v="2009-04-24T00:00:00"/>
    <d v="2009-11-23T00:00:00"/>
    <x v="0"/>
  </r>
  <r>
    <s v="Great Basin Bank of Nevada"/>
    <s v="Elko"/>
    <s v="NV"/>
    <n v="33824"/>
    <d v="2009-04-17T00:00:00"/>
    <d v="2009-11-23T00:00:00"/>
    <x v="19"/>
  </r>
  <r>
    <s v="American Sterling Bank"/>
    <s v="Sugar Creek"/>
    <s v="MO"/>
    <n v="8266"/>
    <d v="2009-04-17T00:00:00"/>
    <d v="2009-11-23T00:00:00"/>
    <x v="1"/>
  </r>
  <r>
    <s v="New Frontier Bank"/>
    <s v="Greeley"/>
    <s v="CO"/>
    <n v="34881"/>
    <d v="2009-04-10T00:00:00"/>
    <d v="2009-12-23T00:00:00"/>
    <x v="18"/>
  </r>
  <r>
    <s v="Cape Fear Bank"/>
    <s v="Wilmington"/>
    <s v="NC"/>
    <n v="34639"/>
    <d v="2009-04-10T00:00:00"/>
    <d v="2009-11-23T00:00:00"/>
    <x v="16"/>
  </r>
  <r>
    <s v="Omni National Bank"/>
    <s v="Atlanta"/>
    <s v="GA"/>
    <n v="22238"/>
    <d v="2009-03-27T00:00:00"/>
    <d v="2009-11-23T00:00:00"/>
    <x v="2"/>
  </r>
  <r>
    <s v="TeamBank, NA"/>
    <s v="Paola"/>
    <s v="KS"/>
    <n v="4754"/>
    <d v="2009-03-20T00:00:00"/>
    <d v="2009-11-23T00:00:00"/>
    <x v="7"/>
  </r>
  <r>
    <s v="Colorado National Bank"/>
    <s v="Colorado Springs"/>
    <s v="CO"/>
    <n v="18896"/>
    <d v="2009-03-20T00:00:00"/>
    <d v="2009-11-23T00:00:00"/>
    <x v="11"/>
  </r>
  <r>
    <s v="FirstCity Bank"/>
    <s v="Stockbridge"/>
    <s v="GA"/>
    <n v="18243"/>
    <d v="2009-03-20T00:00:00"/>
    <d v="2009-11-23T00:00:00"/>
    <x v="1"/>
  </r>
  <r>
    <s v="Freedom Bank of Georgia"/>
    <s v="Commerce"/>
    <s v="GA"/>
    <n v="57558"/>
    <d v="2009-03-06T00:00:00"/>
    <d v="2009-11-23T00:00:00"/>
    <x v="11"/>
  </r>
  <r>
    <s v="Security Savings Bank"/>
    <s v="Henderson"/>
    <s v="NV"/>
    <n v="34820"/>
    <d v="2009-02-27T00:00:00"/>
    <d v="2009-11-23T00:00:00"/>
    <x v="14"/>
  </r>
  <r>
    <s v="Heritage Community Bank"/>
    <s v="Glenwood"/>
    <s v="IL"/>
    <n v="20078"/>
    <d v="2009-02-27T00:00:00"/>
    <d v="2009-11-23T00:00:00"/>
    <x v="18"/>
  </r>
  <r>
    <s v="Silver Falls Bank"/>
    <s v="Silverton"/>
    <s v="OR"/>
    <n v="35399"/>
    <d v="2009-02-20T00:00:00"/>
    <d v="2009-11-23T00:00:00"/>
    <x v="1"/>
  </r>
  <r>
    <s v="Pinnacle Bank of Oregon"/>
    <s v="Beaverton"/>
    <s v="OR"/>
    <n v="57342"/>
    <d v="2009-02-13T00:00:00"/>
    <d v="2009-11-23T00:00:00"/>
    <x v="3"/>
  </r>
  <r>
    <s v="Corn Belt Bank &amp; Trust Co."/>
    <s v="Pittsfield"/>
    <s v="IL"/>
    <n v="16500"/>
    <d v="2009-02-13T00:00:00"/>
    <d v="2009-11-23T00:00:00"/>
    <x v="7"/>
  </r>
  <r>
    <s v="Riverside Bank of the Gulf Coast"/>
    <s v="Cape Coral"/>
    <s v="FL"/>
    <n v="34563"/>
    <d v="2009-02-13T00:00:00"/>
    <d v="2009-11-23T00:00:00"/>
    <x v="11"/>
  </r>
  <r>
    <s v="Sherman County Bank"/>
    <s v="Loup City"/>
    <s v="NE"/>
    <n v="5431"/>
    <d v="2009-02-13T00:00:00"/>
    <d v="2009-11-23T00:00:00"/>
    <x v="4"/>
  </r>
  <r>
    <s v="County Bank"/>
    <s v="Merced"/>
    <s v="CA"/>
    <n v="22574"/>
    <d v="2009-02-06T00:00:00"/>
    <d v="2009-11-23T00:00:00"/>
    <x v="9"/>
  </r>
  <r>
    <s v="Alliance Bank"/>
    <s v="Culver City"/>
    <s v="CA"/>
    <n v="23124"/>
    <d v="2009-02-06T00:00:00"/>
    <d v="2009-11-23T00:00:00"/>
    <x v="11"/>
  </r>
  <r>
    <s v="FirstBank Financial Services"/>
    <s v="McDonough"/>
    <s v="GA"/>
    <n v="57017"/>
    <d v="2009-02-06T00:00:00"/>
    <d v="2009-11-23T00:00:00"/>
    <x v="9"/>
  </r>
  <r>
    <s v="Ocala National Bank"/>
    <s v="Ocala"/>
    <s v="FL"/>
    <n v="26538"/>
    <d v="2009-01-30T00:00:00"/>
    <d v="2009-11-23T00:00:00"/>
    <x v="8"/>
  </r>
  <r>
    <s v="Suburban FSB"/>
    <s v="Crofton"/>
    <s v="MD"/>
    <n v="30763"/>
    <d v="2009-01-30T00:00:00"/>
    <d v="2009-11-23T00:00:00"/>
    <x v="11"/>
  </r>
  <r>
    <s v="MagnetBank"/>
    <s v="Salt Lake City"/>
    <s v="UT"/>
    <n v="58001"/>
    <d v="2009-01-30T00:00:00"/>
    <d v="2009-11-23T00:00:00"/>
    <x v="1"/>
  </r>
  <r>
    <s v="1st Centennial Bank"/>
    <s v="Redlands"/>
    <s v="CA"/>
    <n v="33025"/>
    <d v="2009-01-23T00:00:00"/>
    <d v="2009-11-23T00:00:00"/>
    <x v="10"/>
  </r>
  <r>
    <s v="Bank of Clark County"/>
    <s v="Vancouver"/>
    <s v="WA"/>
    <n v="34959"/>
    <d v="2009-01-16T00:00:00"/>
    <d v="2009-11-23T00:00:00"/>
    <x v="17"/>
  </r>
  <r>
    <s v="National Bank of Commerce"/>
    <s v="Berkeley"/>
    <s v="IL"/>
    <n v="19733"/>
    <d v="2009-01-16T00:00:00"/>
    <d v="2009-11-23T00:00:00"/>
    <x v="3"/>
  </r>
  <r>
    <s v="Sanderson State Bank"/>
    <s v="Sanderson"/>
    <s v="TX"/>
    <n v="11568"/>
    <d v="2008-12-12T00:00:00"/>
    <d v="2009-11-23T00:00:00"/>
    <x v="1"/>
  </r>
  <r>
    <s v="Haven Trust Bank"/>
    <s v="Duluth"/>
    <s v="GA"/>
    <n v="35379"/>
    <d v="2008-12-12T00:00:00"/>
    <d v="2009-11-23T00:00:00"/>
    <x v="13"/>
  </r>
  <r>
    <s v="First Georgia Community Bank"/>
    <s v="Jackson"/>
    <s v="GA"/>
    <n v="34301"/>
    <d v="2008-12-05T00:00:00"/>
    <d v="2009-11-23T00:00:00"/>
    <x v="20"/>
  </r>
  <r>
    <s v="PFF Bank &amp; Trust "/>
    <s v="Pomona"/>
    <s v="CA"/>
    <n v="28344"/>
    <d v="2008-11-21T00:00:00"/>
    <d v="2009-11-23T00:00:00"/>
    <x v="7"/>
  </r>
  <r>
    <s v="Downey Savings &amp; Loan"/>
    <s v="Newport Beach"/>
    <s v="CA"/>
    <n v="30968"/>
    <d v="2008-11-21T00:00:00"/>
    <d v="2009-11-23T00:00:00"/>
    <x v="6"/>
  </r>
  <r>
    <s v="Community Bank"/>
    <s v="Loganville"/>
    <s v="GA"/>
    <n v="16490"/>
    <d v="2008-11-21T00:00:00"/>
    <d v="2009-11-23T00:00:00"/>
    <x v="4"/>
  </r>
  <r>
    <s v="Security Pacific Bank"/>
    <s v="Los Angeles"/>
    <s v="CA"/>
    <n v="23595"/>
    <d v="2008-11-07T00:00:00"/>
    <d v="2009-11-23T00:00:00"/>
    <x v="4"/>
  </r>
  <r>
    <s v="Franklin Bank, SSB"/>
    <s v="Houston"/>
    <s v="TX"/>
    <n v="26870"/>
    <d v="2008-11-07T00:00:00"/>
    <d v="2009-11-23T00:00:00"/>
    <x v="14"/>
  </r>
  <r>
    <s v="Freedom Bank"/>
    <s v="Bradenton"/>
    <s v="FL"/>
    <n v="57930"/>
    <d v="2008-10-31T00:00:00"/>
    <d v="2009-11-23T00:00:00"/>
    <x v="3"/>
  </r>
  <r>
    <s v="Alpha Bank &amp; Trust"/>
    <s v="Alpharetta"/>
    <s v="GA"/>
    <n v="58241"/>
    <d v="2008-10-24T00:00:00"/>
    <d v="2009-11-23T00:00:00"/>
    <x v="2"/>
  </r>
  <r>
    <s v="Meridian Bank"/>
    <s v="Eldred"/>
    <s v="IL"/>
    <n v="13789"/>
    <d v="2008-10-10T00:00:00"/>
    <d v="2009-11-23T00:00:00"/>
    <x v="19"/>
  </r>
  <r>
    <s v="Main Street Bank"/>
    <s v="Northville"/>
    <s v="MI"/>
    <n v="57654"/>
    <d v="2008-10-10T00:00:00"/>
    <d v="2009-11-23T00:00:00"/>
    <x v="6"/>
  </r>
  <r>
    <s v="Washington Mutual Bank"/>
    <s v="Henderson"/>
    <s v="NV"/>
    <n v="32633"/>
    <d v="2008-09-25T00:00:00"/>
    <d v="2009-11-23T00:00:00"/>
    <x v="14"/>
  </r>
  <r>
    <s v="Washington Mutual Bank FSB"/>
    <s v="Park City"/>
    <s v="UT"/>
    <n v="32633"/>
    <d v="2008-09-25T00:00:00"/>
    <d v="2009-11-23T00:00:00"/>
    <x v="7"/>
  </r>
  <r>
    <s v="Ameribank"/>
    <s v="Northfork"/>
    <s v="WV"/>
    <n v="6782"/>
    <d v="2008-09-19T00:00:00"/>
    <d v="2009-11-23T00:00:00"/>
    <x v="6"/>
  </r>
  <r>
    <s v="Silver State Bank"/>
    <s v="Henderson"/>
    <s v="NV"/>
    <n v="34194"/>
    <d v="2008-09-05T00:00:00"/>
    <d v="2009-11-23T00:00:00"/>
    <x v="14"/>
  </r>
  <r>
    <s v="Integrity Bank"/>
    <s v="Alpharetta"/>
    <s v="GA"/>
    <n v="35469"/>
    <d v="2008-08-29T00:00:00"/>
    <d v="2009-11-23T00:00:00"/>
    <x v="2"/>
  </r>
  <r>
    <s v="Columbian Bank &amp; Trust"/>
    <s v="Topeka"/>
    <s v="KS"/>
    <n v="22728"/>
    <d v="2008-08-22T00:00:00"/>
    <d v="2009-11-23T00:00:00"/>
    <x v="15"/>
  </r>
  <r>
    <s v="First Priority Bank"/>
    <s v="Bradenton"/>
    <s v="FL"/>
    <n v="57523"/>
    <d v="2008-08-01T00:00:00"/>
    <d v="2009-11-23T00:00:00"/>
    <x v="3"/>
  </r>
  <r>
    <s v="First Heritage Bank, NA"/>
    <s v="Newport Beach"/>
    <s v="CA"/>
    <n v="57961"/>
    <d v="2008-07-25T00:00:00"/>
    <d v="2009-11-23T00:00:00"/>
    <x v="6"/>
  </r>
  <r>
    <s v="First National Bank of Nevada"/>
    <s v="Reno"/>
    <s v="NV"/>
    <n v="27011"/>
    <d v="2008-07-25T00:00:00"/>
    <d v="2009-11-23T00:00:00"/>
    <x v="10"/>
  </r>
  <r>
    <s v="IndyMac Bank"/>
    <s v="Pasadena"/>
    <s v="CA"/>
    <n v="29730"/>
    <d v="2008-07-11T00:00:00"/>
    <d v="2009-11-23T00:00:00"/>
    <x v="7"/>
  </r>
  <r>
    <s v="First Integrity Bank, NA"/>
    <s v="Staples"/>
    <s v="MN"/>
    <n v="12736"/>
    <d v="2008-05-30T00:00:00"/>
    <d v="2009-11-23T00:00:00"/>
    <x v="1"/>
  </r>
  <r>
    <s v="ANB Financial, NA"/>
    <s v="Bentonville"/>
    <s v="AR"/>
    <n v="33901"/>
    <d v="2008-05-09T00:00:00"/>
    <d v="2009-11-23T00:00:00"/>
    <x v="3"/>
  </r>
  <r>
    <s v="Hume Bank"/>
    <s v="Hume"/>
    <s v="MO"/>
    <n v="1971"/>
    <d v="2008-03-07T00:00:00"/>
    <d v="2009-11-23T00:00:00"/>
    <x v="14"/>
  </r>
  <r>
    <s v="Douglass National Bank"/>
    <s v="Kansas City"/>
    <s v="MO"/>
    <n v="24660"/>
    <d v="2008-01-25T00:00:00"/>
    <d v="2009-11-23T00:00:00"/>
    <x v="0"/>
  </r>
  <r>
    <s v="Miami Valley Bank"/>
    <s v="Lakeview"/>
    <s v="OH"/>
    <n v="16848"/>
    <d v="2007-10-04T00:00:00"/>
    <d v="2009-11-23T00:00:00"/>
    <x v="4"/>
  </r>
  <r>
    <s v="NetBank"/>
    <s v="Alpharetta"/>
    <s v="GA"/>
    <n v="32575"/>
    <d v="2007-09-28T00:00:00"/>
    <d v="2009-11-23T00:00:00"/>
    <x v="2"/>
  </r>
  <r>
    <s v="Metropolitan Savings Bank"/>
    <s v="Pittsburgh"/>
    <s v="PA"/>
    <n v="35353"/>
    <d v="2007-02-02T00:00:00"/>
    <d v="2009-11-23T00:00:00"/>
    <x v="7"/>
  </r>
  <r>
    <s v="Bank of Ephraim"/>
    <s v="Ephraim"/>
    <s v="UT"/>
    <n v="1249"/>
    <d v="2004-06-25T00:00:00"/>
    <d v="2008-04-09T00:00:00"/>
    <x v="19"/>
  </r>
  <r>
    <s v="Reliance Bank"/>
    <s v="White Plains"/>
    <s v="NY"/>
    <n v="26778"/>
    <d v="2004-03-19T00:00:00"/>
    <d v="2008-04-09T00:00:00"/>
    <x v="16"/>
  </r>
  <r>
    <s v="Guaranty National Bank of Tallahassee"/>
    <s v="Tallahassee"/>
    <s v="FL"/>
    <n v="26838"/>
    <d v="2004-03-12T00:00:00"/>
    <d v="2009-11-23T00:00:00"/>
    <x v="15"/>
  </r>
  <r>
    <s v="Dollar Savings Bank"/>
    <s v="Newark"/>
    <s v="NJ"/>
    <n v="31330"/>
    <d v="2004-02-14T00:00:00"/>
    <d v="2008-04-09T00:00:00"/>
    <x v="6"/>
  </r>
  <r>
    <s v="Pulaski Savings Bank"/>
    <s v="Philadelphia"/>
    <s v="PA"/>
    <n v="27203"/>
    <d v="2003-11-14T00:00:00"/>
    <d v="2005-07-22T00:00:00"/>
    <x v="7"/>
  </r>
  <r>
    <s v="First National Bank of Blanchardville"/>
    <s v="Blanchardville"/>
    <s v="WI"/>
    <n v="11639"/>
    <d v="2003-05-09T00:00:00"/>
    <d v="2009-08-06T00:00:00"/>
    <x v="3"/>
  </r>
  <r>
    <s v="Southern Pacific Bank"/>
    <s v="Torrance"/>
    <s v="CA"/>
    <n v="27094"/>
    <d v="2003-02-07T00:00:00"/>
    <d v="2008-10-20T00:00:00"/>
    <x v="15"/>
  </r>
  <r>
    <s v="Farmers Bank of Cheneyville"/>
    <s v="Cheneyville"/>
    <s v="LA"/>
    <n v="16445"/>
    <d v="2002-12-17T00:00:00"/>
    <d v="2004-10-20T00:00:00"/>
    <x v="11"/>
  </r>
  <r>
    <s v="Bank of Alamo"/>
    <s v="Alamo"/>
    <s v="TN"/>
    <n v="9961"/>
    <d v="2002-11-08T00:00:00"/>
    <d v="2005-03-18T00:00:00"/>
    <x v="2"/>
  </r>
  <r>
    <s v="AmTrade International Bank"/>
    <s v="Atlanta"/>
    <s v="GA"/>
    <n v="33784"/>
    <d v="2002-09-30T00:00:00"/>
    <d v="2006-09-11T00:00:00"/>
    <x v="2"/>
  </r>
  <r>
    <s v="Universal Federal Savings Bank"/>
    <s v="Chicago"/>
    <s v="IL"/>
    <n v="29355"/>
    <d v="2002-06-27T00:00:00"/>
    <d v="2008-04-09T00:00:00"/>
    <x v="11"/>
  </r>
  <r>
    <s v="Connecticut Bank of Commerce"/>
    <s v="Stamford"/>
    <s v="CT"/>
    <n v="19183"/>
    <d v="2002-06-26T00:00:00"/>
    <d v="2009-11-23T00:00:00"/>
    <x v="1"/>
  </r>
  <r>
    <s v="New Century Bank"/>
    <s v="Shelby Township"/>
    <s v="MI"/>
    <n v="34979"/>
    <d v="2002-03-28T00:00:00"/>
    <d v="2005-03-18T00:00:00"/>
    <x v="1"/>
  </r>
  <r>
    <s v="Net 1st National Bank"/>
    <s v="Boca Raton"/>
    <s v="FL"/>
    <n v="26652"/>
    <d v="2002-03-01T00:00:00"/>
    <d v="2008-04-09T00:00:00"/>
    <x v="3"/>
  </r>
  <r>
    <s v="NextBank, NA"/>
    <s v="Phoenix"/>
    <s v="AZ"/>
    <n v="22314"/>
    <d v="2002-02-07T00:00:00"/>
    <d v="2009-11-23T00:00:00"/>
    <x v="7"/>
  </r>
  <r>
    <s v="Oakwood Deposit Bank Co."/>
    <s v="Oakwood"/>
    <s v="OH"/>
    <n v="8966"/>
    <d v="2002-02-01T00:00:00"/>
    <d v="2009-11-23T00:00:00"/>
    <x v="8"/>
  </r>
  <r>
    <s v="Bank of Sierra Blanca"/>
    <s v="Sierra Blanca"/>
    <s v="TX"/>
    <n v="22002"/>
    <d v="2002-01-18T00:00:00"/>
    <d v="2003-11-06T00:00:00"/>
    <x v="1"/>
  </r>
  <r>
    <s v="Hamilton Bank, NA"/>
    <s v="Miami"/>
    <s v="FL"/>
    <n v="24382"/>
    <d v="2002-01-11T00:00:00"/>
    <d v="2009-11-23T00:00:00"/>
    <x v="9"/>
  </r>
  <r>
    <s v="Sinclair National Bank"/>
    <s v="Gravette"/>
    <s v="AR"/>
    <n v="34248"/>
    <d v="2001-09-07T00:00:00"/>
    <d v="2004-02-10T00:00:00"/>
    <x v="18"/>
  </r>
  <r>
    <s v="Superior Bank, FSB"/>
    <s v="Hinsdale"/>
    <s v="IL"/>
    <n v="32646"/>
    <d v="2001-07-27T00:00:00"/>
    <d v="2009-11-23T00:00:00"/>
    <x v="14"/>
  </r>
  <r>
    <s v="Malta National Bank"/>
    <s v="Malta"/>
    <s v="OH"/>
    <n v="6629"/>
    <d v="2001-05-03T00:00:00"/>
    <d v="2002-11-18T00:00:00"/>
    <x v="9"/>
  </r>
  <r>
    <s v="First Alliance Bank &amp; Trust Co."/>
    <s v="Manchester"/>
    <s v="NH"/>
    <n v="34264"/>
    <d v="2001-02-02T00:00:00"/>
    <d v="2003-02-18T00:00:00"/>
    <x v="9"/>
  </r>
  <r>
    <s v="National State Bank of Metropolis"/>
    <s v="Metropolis"/>
    <s v="IL"/>
    <n v="3815"/>
    <d v="2000-12-14T00:00:00"/>
    <d v="2005-03-17T00:00:00"/>
    <x v="9"/>
  </r>
  <r>
    <s v="Bank of Honolulu"/>
    <s v="Honolulu"/>
    <s v="HI"/>
    <n v="21029"/>
    <d v="2000-10-13T00:00:00"/>
    <d v="2005-03-17T00:00:00"/>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6" cacheId="42"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A3:B5" firstHeaderRow="1" firstDataRow="2" firstDataCol="1"/>
  <pivotFields count="8">
    <pivotField axis="axisRow" compact="0" outline="0" subtotalTop="0" showAll="0" includeNewItemsInFilter="1" sortType="descending">
      <items count="194">
        <item x="138"/>
        <item x="60"/>
        <item x="133"/>
        <item x="150"/>
        <item x="155"/>
        <item x="109"/>
        <item x="115"/>
        <item x="117"/>
        <item x="43"/>
        <item x="178"/>
        <item x="16"/>
        <item x="163"/>
        <item x="177"/>
        <item x="139"/>
        <item x="40"/>
        <item x="169"/>
        <item x="192"/>
        <item x="105"/>
        <item x="185"/>
        <item x="90"/>
        <item x="37"/>
        <item x="88"/>
        <item x="107"/>
        <item x="0"/>
        <item x="15"/>
        <item x="62"/>
        <item x="53"/>
        <item x="34"/>
        <item x="119"/>
        <item x="64"/>
        <item x="23"/>
        <item x="110"/>
        <item x="31"/>
        <item x="8"/>
        <item x="70"/>
        <item x="122"/>
        <item x="157"/>
        <item x="20"/>
        <item x="146"/>
        <item x="68"/>
        <item x="36"/>
        <item x="67"/>
        <item x="101"/>
        <item x="72"/>
        <item x="73"/>
        <item x="180"/>
        <item x="103"/>
        <item x="129"/>
        <item x="54"/>
        <item x="132"/>
        <item x="172"/>
        <item x="165"/>
        <item x="145"/>
        <item x="71"/>
        <item x="66"/>
        <item x="94"/>
        <item x="176"/>
        <item x="190"/>
        <item x="113"/>
        <item x="112"/>
        <item x="59"/>
        <item x="75"/>
        <item x="65"/>
        <item x="38"/>
        <item x="4"/>
        <item x="143"/>
        <item x="159"/>
        <item x="162"/>
        <item x="102"/>
        <item x="174"/>
        <item x="93"/>
        <item x="160"/>
        <item x="89"/>
        <item x="158"/>
        <item x="18"/>
        <item x="55"/>
        <item x="78"/>
        <item x="96"/>
        <item x="134"/>
        <item x="123"/>
        <item x="41"/>
        <item x="91"/>
        <item x="148"/>
        <item x="149"/>
        <item x="124"/>
        <item x="25"/>
        <item x="49"/>
        <item x="116"/>
        <item x="14"/>
        <item x="63"/>
        <item x="171"/>
        <item x="186"/>
        <item x="142"/>
        <item x="126"/>
        <item x="42"/>
        <item x="27"/>
        <item x="3"/>
        <item x="164"/>
        <item x="5"/>
        <item x="58"/>
        <item x="6"/>
        <item x="161"/>
        <item x="77"/>
        <item x="51"/>
        <item x="50"/>
        <item x="47"/>
        <item x="97"/>
        <item x="30"/>
        <item x="137"/>
        <item x="152"/>
        <item x="61"/>
        <item x="189"/>
        <item x="151"/>
        <item x="99"/>
        <item x="168"/>
        <item x="166"/>
        <item x="114"/>
        <item x="92"/>
        <item x="98"/>
        <item x="74"/>
        <item x="140"/>
        <item x="191"/>
        <item x="100"/>
        <item x="182"/>
        <item x="167"/>
        <item x="181"/>
        <item x="118"/>
        <item x="7"/>
        <item x="183"/>
        <item x="29"/>
        <item x="184"/>
        <item x="135"/>
        <item x="120"/>
        <item x="22"/>
        <item x="21"/>
        <item x="33"/>
        <item x="32"/>
        <item x="44"/>
        <item x="76"/>
        <item x="9"/>
        <item x="144"/>
        <item x="128"/>
        <item x="56"/>
        <item x="26"/>
        <item x="173"/>
        <item x="170"/>
        <item x="13"/>
        <item x="130"/>
        <item x="39"/>
        <item x="95"/>
        <item x="10"/>
        <item x="35"/>
        <item x="45"/>
        <item x="141"/>
        <item x="81"/>
        <item x="84"/>
        <item x="80"/>
        <item x="79"/>
        <item x="83"/>
        <item x="82"/>
        <item x="147"/>
        <item x="125"/>
        <item x="131"/>
        <item x="127"/>
        <item x="156"/>
        <item x="111"/>
        <item x="187"/>
        <item x="11"/>
        <item x="46"/>
        <item x="104"/>
        <item x="175"/>
        <item x="1"/>
        <item x="106"/>
        <item x="136"/>
        <item x="188"/>
        <item x="121"/>
        <item x="86"/>
        <item x="19"/>
        <item x="17"/>
        <item x="2"/>
        <item x="69"/>
        <item x="24"/>
        <item x="28"/>
        <item x="179"/>
        <item x="12"/>
        <item x="57"/>
        <item x="52"/>
        <item x="87"/>
        <item x="48"/>
        <item x="153"/>
        <item x="154"/>
        <item x="85"/>
        <item x="108"/>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dataField="1" compact="0" numFmtId="15" outline="0" subtotalTop="0" showAll="0" includeNewItemsInFilter="1">
      <items count="15">
        <item h="1" x="0"/>
        <item h="1" x="1"/>
        <item h="1" x="2"/>
        <item h="1" x="3"/>
        <item x="4"/>
        <item h="1" x="5"/>
        <item h="1" x="6"/>
        <item h="1" x="7"/>
        <item h="1" x="8"/>
        <item h="1" x="9"/>
        <item h="1" x="10"/>
        <item h="1" x="11"/>
        <item h="1" x="12"/>
        <item h="1" x="13"/>
        <item t="default"/>
      </items>
    </pivotField>
    <pivotField compact="0" numFmtId="15" outline="0" subtotalTop="0" showAll="0" includeNewItemsInFilter="1"/>
    <pivotField compact="0" outline="0" subtotalTop="0" showAll="0" includeNewItemsInFilter="1" sortType="descending" defaultSubtotal="0">
      <items count="6">
        <item sd="0" x="0"/>
        <item h="1" sd="0" x="1"/>
        <item h="1" sd="0" x="2"/>
        <item h="1" sd="0" x="3"/>
        <item h="1" sd="0" x="4"/>
        <item h="1" sd="0" x="5"/>
      </items>
      <autoSortScope>
        <pivotArea dataOnly="0" outline="0" fieldPosition="0">
          <references count="1">
            <reference field="4294967294" count="1" selected="0">
              <x v="0"/>
            </reference>
          </references>
        </pivotArea>
      </autoSortScope>
    </pivotField>
    <pivotField axis="axisCol" compact="0" outline="0" subtotalTop="0" showAll="0" includeNewItemsInFilter="1" sortType="descending" defaultSubtotal="0">
      <items count="13">
        <item h="1" sd="0" x="0"/>
        <item h="1" sd="0" x="1"/>
        <item h="1" sd="0" x="2"/>
        <item h="1" sd="0" x="3"/>
        <item h="1" sd="0" x="4"/>
        <item h="1" sd="0" x="5"/>
        <item h="1" sd="0" x="6"/>
        <item h="1" sd="0" x="7"/>
        <item h="1" sd="0" x="8"/>
        <item h="1" sd="0" x="9"/>
        <item sd="0" x="10"/>
        <item h="1" sd="0" x="11"/>
        <item h="1" sd="0" x="12"/>
      </items>
      <autoSortScope>
        <pivotArea dataOnly="0" outline="0" fieldPosition="0">
          <references count="1">
            <reference field="4294967294" count="1" selected="0">
              <x v="0"/>
            </reference>
          </references>
        </pivotArea>
      </autoSortScope>
    </pivotField>
  </pivotFields>
  <rowFields count="1">
    <field x="0"/>
  </rowFields>
  <rowItems count="1">
    <i t="grand">
      <x/>
    </i>
  </rowItems>
  <colFields count="1">
    <field x="7"/>
  </colFields>
  <colItems count="1">
    <i t="grand">
      <x/>
    </i>
  </colItems>
  <dataFields count="1">
    <dataField name="Count of Closing Date" fld="4" subtotal="count" baseField="0" baseItem="0"/>
  </dataFields>
  <pivotTableStyleInfo showRowHeaders="1" showColHeaders="1" showRowStripes="0" showColStripes="0" showLastColumn="1"/>
</pivotTableDefinition>
</file>

<file path=xl/pivotTables/pivotTable2.xml><?xml version="1.0" encoding="utf-8"?>
<pivotTableDefinition xmlns="http://schemas.openxmlformats.org/spreadsheetml/2006/main" name="PivotTable2" cacheId="42"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A3:B5" firstHeaderRow="2" firstDataRow="2" firstDataCol="1"/>
  <pivotFields count="8">
    <pivotField compact="0" outline="0" subtotalTop="0" showAll="0" includeNewItemsInFilter="1"/>
    <pivotField compact="0" outline="0" subtotalTop="0" showAll="0" includeNewItemsInFilter="1"/>
    <pivotField axis="axisRow" compact="0" outline="0" subtotalTop="0" showAll="0" includeNewItemsInFilter="1" sortType="descending">
      <items count="40">
        <item x="5"/>
        <item x="33"/>
        <item x="10"/>
        <item x="4"/>
        <item x="16"/>
        <item x="36"/>
        <item x="7"/>
        <item x="8"/>
        <item x="38"/>
        <item x="19"/>
        <item x="30"/>
        <item x="2"/>
        <item x="18"/>
        <item x="9"/>
        <item x="17"/>
        <item x="34"/>
        <item x="20"/>
        <item x="6"/>
        <item x="1"/>
        <item x="13"/>
        <item x="29"/>
        <item x="31"/>
        <item x="37"/>
        <item x="24"/>
        <item x="21"/>
        <item x="26"/>
        <item x="12"/>
        <item x="25"/>
        <item x="23"/>
        <item x="22"/>
        <item x="27"/>
        <item x="35"/>
        <item x="14"/>
        <item x="0"/>
        <item x="11"/>
        <item x="3"/>
        <item x="15"/>
        <item x="32"/>
        <item x="28"/>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dataField="1" compact="0" outline="0" subtotalTop="0" showAll="0" includeNewItemsInFilter="1">
      <items count="15">
        <item h="1" x="0"/>
        <item h="1" x="1"/>
        <item h="1" x="2"/>
        <item h="1" x="3"/>
        <item x="4"/>
        <item h="1" x="5"/>
        <item h="1" x="6"/>
        <item h="1" x="7"/>
        <item h="1" x="8"/>
        <item h="1" x="9"/>
        <item h="1" x="10"/>
        <item h="1" x="11"/>
        <item h="1" x="12"/>
        <item h="1" x="13"/>
        <item t="default"/>
      </items>
    </pivotField>
    <pivotField compact="0" outline="0" subtotalTop="0" showAll="0" includeNewItemsInFilter="1"/>
    <pivotField compact="0" outline="0" subtotalTop="0" showAll="0" includeNewItemsInFilter="1" defaultSubtotal="0">
      <items count="6">
        <item x="0"/>
        <item h="1" x="1"/>
        <item h="1" x="2"/>
        <item h="1" x="3"/>
        <item h="1" x="4"/>
        <item h="1" x="5"/>
      </items>
    </pivotField>
    <pivotField compact="0" outline="0" subtotalTop="0" showAll="0" includeNewItemsInFilter="1" defaultSubtotal="0">
      <items count="13">
        <item h="1" x="0"/>
        <item h="1" x="1"/>
        <item h="1" x="2"/>
        <item h="1" x="3"/>
        <item h="1" x="4"/>
        <item h="1" x="5"/>
        <item h="1" x="6"/>
        <item h="1" x="7"/>
        <item h="1" x="8"/>
        <item h="1" x="9"/>
        <item x="10"/>
        <item h="1" x="11"/>
        <item h="1" x="12"/>
      </items>
    </pivotField>
  </pivotFields>
  <rowFields count="1">
    <field x="2"/>
  </rowFields>
  <rowItems count="1">
    <i t="grand">
      <x/>
    </i>
  </rowItems>
  <colItems count="1">
    <i/>
  </colItems>
  <dataFields count="1">
    <dataField name="Count of Closing Date" fld="4" subtotal="count" baseField="0" baseItem="0"/>
  </dataFields>
  <pivotTableStyleInfo showRowHeaders="1" showColHeaders="1" showRowStripes="0" showColStripes="0" showLastColumn="1"/>
</pivotTableDefinition>
</file>

<file path=xl/pivotTables/pivotTable3.xml><?xml version="1.0" encoding="utf-8"?>
<pivotTableDefinition xmlns="http://schemas.openxmlformats.org/spreadsheetml/2006/main" name="PivotTable8" cacheId="42"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A3:B5" firstHeaderRow="2" firstDataRow="2" firstDataCol="1"/>
  <pivotFields count="8">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items count="15">
        <item h="1" x="0"/>
        <item h="1" x="1"/>
        <item h="1" x="2"/>
        <item h="1" x="3"/>
        <item x="4"/>
        <item h="1" x="5"/>
        <item h="1" x="6"/>
        <item h="1" x="7"/>
        <item h="1" x="8"/>
        <item h="1" x="9"/>
        <item h="1" x="10"/>
        <item h="1" x="11"/>
        <item h="1" x="12"/>
        <item h="1" x="13"/>
        <item t="default"/>
      </items>
    </pivotField>
    <pivotField compact="0" outline="0" subtotalTop="0" showAll="0" includeNewItemsInFilter="1"/>
    <pivotField axis="axisRow" compact="0" outline="0" subtotalTop="0" showAll="0" includeNewItemsInFilter="1" sortType="descending" defaultSubtotal="0">
      <items count="6">
        <item x="0"/>
        <item h="1" x="1"/>
        <item h="1" x="2"/>
        <item h="1" x="3"/>
        <item h="1" x="4"/>
        <item h="1" x="5"/>
      </items>
      <autoSortScope>
        <pivotArea dataOnly="0" outline="0" fieldPosition="0">
          <references count="1">
            <reference field="4294967294" count="1" selected="0">
              <x v="0"/>
            </reference>
          </references>
        </pivotArea>
      </autoSortScope>
    </pivotField>
    <pivotField compact="0" outline="0" subtotalTop="0" showAll="0" includeNewItemsInFilter="1" defaultSubtotal="0">
      <items count="13">
        <item h="1" x="0"/>
        <item h="1" x="1"/>
        <item h="1" x="2"/>
        <item h="1" x="3"/>
        <item h="1" x="4"/>
        <item h="1" x="5"/>
        <item h="1" x="6"/>
        <item h="1" x="7"/>
        <item h="1" x="8"/>
        <item h="1" x="9"/>
        <item x="10"/>
        <item h="1" x="11"/>
        <item h="1" x="12"/>
      </items>
    </pivotField>
  </pivotFields>
  <rowFields count="1">
    <field x="6"/>
  </rowFields>
  <rowItems count="1">
    <i t="grand">
      <x/>
    </i>
  </rowItems>
  <colItems count="1">
    <i/>
  </colItems>
  <dataFields count="1">
    <dataField name="Count of Closing Date" fld="4" subtotal="count" baseField="0" baseItem="0"/>
  </dataFields>
  <pivotTableStyleInfo showRowHeaders="1" showColHeaders="1" showRowStripes="0" showColStripes="0" showLastColumn="1"/>
</pivotTableDefinition>
</file>

<file path=xl/pivotTables/pivotTable4.xml><?xml version="1.0" encoding="utf-8"?>
<pivotTableDefinition xmlns="http://schemas.openxmlformats.org/spreadsheetml/2006/main" name="PivotTable1" cacheId="42"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A3:C5" firstHeaderRow="2" firstDataRow="2" firstDataCol="2"/>
  <pivotFields count="8">
    <pivotField compact="0" outline="0" subtotalTop="0" showAll="0" includeNewItemsInFilter="1" sortType="descending">
      <autoSortScope>
        <pivotArea dataOnly="0" outline="0" fieldPosition="0">
          <references count="1">
            <reference field="4294967294" count="1" selected="0">
              <x v="0"/>
            </reference>
          </references>
        </pivotArea>
      </autoSortScope>
    </pivotField>
    <pivotField axis="axisRow" compact="0" outline="0" subtotalTop="0" showAll="0" includeNewItemsInFilter="1" sortType="descending">
      <items count="167">
        <item x="154"/>
        <item x="75"/>
        <item x="70"/>
        <item x="92"/>
        <item x="2"/>
        <item x="10"/>
        <item x="15"/>
        <item x="57"/>
        <item x="41"/>
        <item x="56"/>
        <item x="116"/>
        <item x="3"/>
        <item x="143"/>
        <item x="128"/>
        <item x="58"/>
        <item x="151"/>
        <item x="157"/>
        <item x="39"/>
        <item x="99"/>
        <item x="103"/>
        <item x="118"/>
        <item x="97"/>
        <item x="153"/>
        <item x="31"/>
        <item x="16"/>
        <item x="88"/>
        <item x="110"/>
        <item x="46"/>
        <item x="112"/>
        <item x="98"/>
        <item x="124"/>
        <item x="121"/>
        <item x="84"/>
        <item x="85"/>
        <item x="26"/>
        <item x="130"/>
        <item x="135"/>
        <item x="67"/>
        <item x="106"/>
        <item x="146"/>
        <item x="104"/>
        <item x="94"/>
        <item x="49"/>
        <item x="55"/>
        <item x="19"/>
        <item x="61"/>
        <item x="114"/>
        <item x="160"/>
        <item x="71"/>
        <item x="108"/>
        <item x="66"/>
        <item x="113"/>
        <item x="161"/>
        <item x="165"/>
        <item x="28"/>
        <item x="144"/>
        <item x="7"/>
        <item x="89"/>
        <item x="131"/>
        <item x="69"/>
        <item x="53"/>
        <item x="0"/>
        <item x="105"/>
        <item x="102"/>
        <item x="5"/>
        <item x="47"/>
        <item x="145"/>
        <item x="60"/>
        <item x="40"/>
        <item x="100"/>
        <item x="34"/>
        <item x="95"/>
        <item x="134"/>
        <item x="32"/>
        <item x="45"/>
        <item x="119"/>
        <item x="96"/>
        <item x="73"/>
        <item x="29"/>
        <item x="162"/>
        <item x="163"/>
        <item x="122"/>
        <item x="120"/>
        <item x="12"/>
        <item x="164"/>
        <item x="13"/>
        <item x="62"/>
        <item x="21"/>
        <item x="8"/>
        <item x="149"/>
        <item x="59"/>
        <item x="133"/>
        <item x="18"/>
        <item x="138"/>
        <item x="136"/>
        <item x="52"/>
        <item x="25"/>
        <item x="158"/>
        <item x="123"/>
        <item x="86"/>
        <item x="37"/>
        <item x="11"/>
        <item x="9"/>
        <item x="109"/>
        <item x="137"/>
        <item x="141"/>
        <item x="72"/>
        <item x="150"/>
        <item x="35"/>
        <item x="90"/>
        <item x="63"/>
        <item x="117"/>
        <item x="132"/>
        <item x="64"/>
        <item x="42"/>
        <item x="38"/>
        <item x="79"/>
        <item x="126"/>
        <item x="17"/>
        <item x="140"/>
        <item x="14"/>
        <item x="101"/>
        <item x="50"/>
        <item x="125"/>
        <item x="20"/>
        <item x="33"/>
        <item x="23"/>
        <item x="129"/>
        <item x="4"/>
        <item x="22"/>
        <item x="156"/>
        <item x="159"/>
        <item x="115"/>
        <item x="51"/>
        <item x="80"/>
        <item x="27"/>
        <item x="43"/>
        <item x="6"/>
        <item x="24"/>
        <item x="1"/>
        <item x="155"/>
        <item x="142"/>
        <item x="111"/>
        <item x="107"/>
        <item x="76"/>
        <item x="148"/>
        <item x="30"/>
        <item x="78"/>
        <item x="82"/>
        <item x="139"/>
        <item x="152"/>
        <item x="127"/>
        <item x="65"/>
        <item x="54"/>
        <item x="91"/>
        <item x="44"/>
        <item x="68"/>
        <item x="36"/>
        <item x="147"/>
        <item x="77"/>
        <item x="93"/>
        <item x="87"/>
        <item x="81"/>
        <item x="48"/>
        <item x="74"/>
        <item x="83"/>
        <item t="default"/>
      </items>
      <autoSortScope>
        <pivotArea dataOnly="0" outline="0" fieldPosition="0">
          <references count="1">
            <reference field="4294967294" count="1" selected="0">
              <x v="0"/>
            </reference>
          </references>
        </pivotArea>
      </autoSortScope>
    </pivotField>
    <pivotField axis="axisRow" compact="0" outline="0" subtotalTop="0" showAll="0" includeNewItemsInFilter="1">
      <items count="40">
        <item x="5"/>
        <item x="33"/>
        <item x="10"/>
        <item x="4"/>
        <item x="16"/>
        <item x="36"/>
        <item x="7"/>
        <item x="8"/>
        <item x="38"/>
        <item x="19"/>
        <item x="30"/>
        <item x="2"/>
        <item x="18"/>
        <item x="9"/>
        <item x="17"/>
        <item x="34"/>
        <item x="20"/>
        <item x="6"/>
        <item x="1"/>
        <item x="13"/>
        <item x="29"/>
        <item x="31"/>
        <item x="37"/>
        <item x="24"/>
        <item x="21"/>
        <item x="26"/>
        <item x="12"/>
        <item x="25"/>
        <item x="23"/>
        <item x="22"/>
        <item x="27"/>
        <item x="35"/>
        <item x="14"/>
        <item x="0"/>
        <item x="11"/>
        <item x="3"/>
        <item x="15"/>
        <item x="32"/>
        <item x="28"/>
        <item t="default"/>
      </items>
    </pivotField>
    <pivotField compact="0" outline="0" subtotalTop="0" showAll="0" includeNewItemsInFilter="1"/>
    <pivotField dataField="1" compact="0" outline="0" subtotalTop="0" showAll="0" includeNewItemsInFilter="1">
      <items count="15">
        <item h="1" x="0"/>
        <item h="1" x="1"/>
        <item h="1" x="2"/>
        <item h="1" x="3"/>
        <item x="4"/>
        <item h="1" x="5"/>
        <item h="1" x="6"/>
        <item h="1" x="7"/>
        <item h="1" x="8"/>
        <item h="1" x="9"/>
        <item h="1" x="10"/>
        <item h="1" x="11"/>
        <item h="1" x="12"/>
        <item h="1" x="13"/>
        <item t="default"/>
      </items>
    </pivotField>
    <pivotField compact="0" outline="0" subtotalTop="0" showAll="0" includeNewItemsInFilter="1"/>
    <pivotField compact="0" outline="0" subtotalTop="0" showAll="0" includeNewItemsInFilter="1" sortType="descending" defaultSubtotal="0">
      <items count="6">
        <item sd="0" x="0"/>
        <item h="1" sd="0" x="1"/>
        <item h="1" sd="0" x="2"/>
        <item h="1" sd="0" x="3"/>
        <item h="1" sd="0" x="4"/>
        <item h="1" sd="0" x="5"/>
      </items>
      <autoSortScope>
        <pivotArea dataOnly="0" outline="0" fieldPosition="0">
          <references count="1">
            <reference field="4294967294" count="1" selected="0">
              <x v="0"/>
            </reference>
          </references>
        </pivotArea>
      </autoSortScope>
    </pivotField>
    <pivotField compact="0" outline="0" subtotalTop="0" showAll="0" includeNewItemsInFilter="1" defaultSubtotal="0">
      <items count="13">
        <item h="1" sd="0" x="0"/>
        <item h="1" sd="0" x="1"/>
        <item h="1" sd="0" x="2"/>
        <item h="1" sd="0" x="3"/>
        <item h="1" sd="0" x="4"/>
        <item h="1" sd="0" x="5"/>
        <item h="1" sd="0" x="6"/>
        <item h="1" sd="0" x="7"/>
        <item h="1" sd="0" x="8"/>
        <item h="1" sd="0" x="9"/>
        <item sd="0" x="10"/>
        <item h="1" sd="0" x="11"/>
        <item h="1" sd="0" x="12"/>
      </items>
    </pivotField>
  </pivotFields>
  <rowFields count="2">
    <field x="1"/>
    <field x="2"/>
  </rowFields>
  <rowItems count="1">
    <i t="grand">
      <x/>
    </i>
  </rowItems>
  <colItems count="1">
    <i/>
  </colItems>
  <dataFields count="1">
    <dataField name="Count of Closing Date" fld="4" subtotal="count" baseField="0" baseItem="0"/>
  </dataFields>
  <pivotTableStyleInfo showRowHeaders="1" showColHeaders="1" showRowStripes="0" showColStripes="0" showLastColumn="1"/>
</pivotTableDefinition>
</file>

<file path=xl/pivotTables/pivotTable5.xml><?xml version="1.0" encoding="utf-8"?>
<pivotTableDefinition xmlns="http://schemas.openxmlformats.org/spreadsheetml/2006/main" name="PivotTable3" cacheId="42"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A3:B5" firstHeaderRow="2" firstDataRow="2" firstDataCol="1"/>
  <pivotFields count="8">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items count="15">
        <item h="1" x="0"/>
        <item h="1" x="1"/>
        <item h="1" x="2"/>
        <item h="1" x="3"/>
        <item x="4"/>
        <item h="1" x="5"/>
        <item h="1" x="6"/>
        <item h="1" x="7"/>
        <item h="1" x="8"/>
        <item h="1" x="9"/>
        <item h="1" x="10"/>
        <item h="1" x="11"/>
        <item h="1" x="12"/>
        <item h="1" x="13"/>
        <item t="default"/>
      </items>
    </pivotField>
    <pivotField compact="0" outline="0" subtotalTop="0" showAll="0" includeNewItemsInFilter="1"/>
    <pivotField compact="0" outline="0" subtotalTop="0" showAll="0" includeNewItemsInFilter="1" defaultSubtotal="0">
      <items count="6">
        <item x="0"/>
        <item h="1" x="1"/>
        <item h="1" x="2"/>
        <item h="1" x="3"/>
        <item h="1" x="4"/>
        <item h="1" x="5"/>
      </items>
    </pivotField>
    <pivotField axis="axisRow" compact="0" outline="0" subtotalTop="0" showAll="0" includeNewItemsInFilter="1" defaultSubtotal="0">
      <items count="13">
        <item h="1" x="0"/>
        <item h="1" x="1"/>
        <item h="1" x="2"/>
        <item h="1" x="3"/>
        <item h="1" x="4"/>
        <item h="1" x="5"/>
        <item h="1" x="6"/>
        <item h="1" x="7"/>
        <item h="1" x="8"/>
        <item h="1" x="9"/>
        <item x="10"/>
        <item h="1" x="11"/>
        <item h="1" x="12"/>
      </items>
    </pivotField>
  </pivotFields>
  <rowFields count="1">
    <field x="7"/>
  </rowFields>
  <rowItems count="1">
    <i t="grand">
      <x/>
    </i>
  </rowItems>
  <colItems count="1">
    <i/>
  </colItems>
  <dataFields count="1">
    <dataField name="Count of Closing Date" fld="4" subtotal="count" showDataAs="percentOfTotal" baseField="0" baseItem="0" numFmtId="10"/>
  </dataFields>
  <pivotTableStyleInfo showRowHeaders="1" showColHeaders="1" showRowStripes="0" showColStripes="0" showLastColumn="1"/>
</pivotTableDefinition>
</file>

<file path=xl/pivotTables/pivotTable6.xml><?xml version="1.0" encoding="utf-8"?>
<pivotTableDefinition xmlns="http://schemas.openxmlformats.org/spreadsheetml/2006/main" name="PivotTable4" cacheId="42"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7">
  <location ref="A3:B5" firstHeaderRow="1" firstDataRow="2" firstDataCol="1"/>
  <pivotFields count="8">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dataField="1" compact="0" outline="0" subtotalTop="0" showAll="0" includeNewItemsInFilter="1">
      <items count="15">
        <item h="1" x="0"/>
        <item h="1" x="1"/>
        <item h="1" x="2"/>
        <item h="1" x="3"/>
        <item x="4"/>
        <item h="1" x="5"/>
        <item h="1" x="6"/>
        <item h="1" x="7"/>
        <item h="1" x="8"/>
        <item h="1" x="9"/>
        <item h="1" x="10"/>
        <item h="1" x="11"/>
        <item h="1" x="12"/>
        <item h="1" x="13"/>
        <item t="default"/>
      </items>
    </pivotField>
    <pivotField compact="0" outline="0" subtotalTop="0" showAll="0" includeNewItemsInFilter="1"/>
    <pivotField compact="0" outline="0" subtotalTop="0" showAll="0" includeNewItemsInFilter="1" defaultSubtotal="0">
      <items count="6">
        <item x="0"/>
        <item h="1" sd="0" x="1"/>
        <item h="1" x="2"/>
        <item h="1" x="3"/>
        <item h="1" x="4"/>
        <item h="1" x="5"/>
      </items>
    </pivotField>
    <pivotField axis="axisCol" compact="0" outline="0" subtotalTop="0" showAll="0" includeNewItemsInFilter="1" defaultSubtotal="0">
      <items count="13">
        <item h="1" x="0"/>
        <item h="1" x="1"/>
        <item h="1" x="2"/>
        <item h="1" x="3"/>
        <item h="1" x="4"/>
        <item h="1" x="5"/>
        <item h="1" x="6"/>
        <item h="1" x="7"/>
        <item h="1" x="8"/>
        <item h="1" x="9"/>
        <item x="10"/>
        <item h="1" x="11"/>
        <item h="1" x="12"/>
      </items>
    </pivotField>
  </pivotFields>
  <rowFields count="1">
    <field x="4"/>
  </rowFields>
  <rowItems count="1">
    <i t="grand">
      <x/>
    </i>
  </rowItems>
  <colFields count="1">
    <field x="7"/>
  </colFields>
  <colItems count="1">
    <i t="grand">
      <x/>
    </i>
  </colItems>
  <dataFields count="1">
    <dataField name="Count of Closing Date" fld="4" subtotal="count" baseField="0" baseItem="0"/>
  </dataFields>
  <chartFormats count="10">
    <chartFormat chart="4" format="23" series="1">
      <pivotArea type="data" outline="0" fieldPosition="0">
        <references count="2">
          <reference field="4294967294" count="1" selected="0">
            <x v="0"/>
          </reference>
          <reference field="7" count="1" selected="0">
            <x v="9"/>
          </reference>
        </references>
      </pivotArea>
    </chartFormat>
    <chartFormat chart="4" format="24" series="1">
      <pivotArea type="data" outline="0" fieldPosition="0">
        <references count="2">
          <reference field="4294967294" count="1" selected="0">
            <x v="0"/>
          </reference>
          <reference field="7" count="1" selected="0">
            <x v="10"/>
          </reference>
        </references>
      </pivotArea>
    </chartFormat>
    <chartFormat chart="2" format="21" series="1">
      <pivotArea type="data" outline="0" fieldPosition="0">
        <references count="2">
          <reference field="4294967294" count="1" selected="0">
            <x v="0"/>
          </reference>
          <reference field="7" count="1" selected="0">
            <x v="9"/>
          </reference>
        </references>
      </pivotArea>
    </chartFormat>
    <chartFormat chart="2" format="22" series="1">
      <pivotArea type="data" outline="0" fieldPosition="0">
        <references count="2">
          <reference field="4294967294" count="1" selected="0">
            <x v="0"/>
          </reference>
          <reference field="7" count="1" selected="0">
            <x v="10"/>
          </reference>
        </references>
      </pivotArea>
    </chartFormat>
    <chartFormat chart="4" format="25" series="1">
      <pivotArea type="data" outline="0" fieldPosition="0">
        <references count="2">
          <reference field="4294967294" count="1" selected="0">
            <x v="0"/>
          </reference>
          <reference field="7" count="1" selected="0">
            <x v="3"/>
          </reference>
        </references>
      </pivotArea>
    </chartFormat>
    <chartFormat chart="2" format="23" series="1">
      <pivotArea type="data" outline="0" fieldPosition="0">
        <references count="2">
          <reference field="4294967294" count="1" selected="0">
            <x v="0"/>
          </reference>
          <reference field="7" count="1" selected="0">
            <x v="3"/>
          </reference>
        </references>
      </pivotArea>
    </chartFormat>
    <chartFormat chart="4" format="26" series="1">
      <pivotArea type="data" outline="0" fieldPosition="0">
        <references count="2">
          <reference field="4294967294" count="1" selected="0">
            <x v="0"/>
          </reference>
          <reference field="7" count="1" selected="0">
            <x v="8"/>
          </reference>
        </references>
      </pivotArea>
    </chartFormat>
    <chartFormat chart="2" format="24" series="1">
      <pivotArea type="data" outline="0" fieldPosition="0">
        <references count="2">
          <reference field="4294967294" count="1" selected="0">
            <x v="0"/>
          </reference>
          <reference field="7" count="1" selected="0">
            <x v="8"/>
          </reference>
        </references>
      </pivotArea>
    </chartFormat>
    <chartFormat chart="4" format="27" series="1">
      <pivotArea type="data" outline="0" fieldPosition="0">
        <references count="1">
          <reference field="4294967294" count="1" selected="0">
            <x v="0"/>
          </reference>
        </references>
      </pivotArea>
    </chartFormat>
    <chartFormat chart="2" format="25"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7.xml><?xml version="1.0" encoding="utf-8"?>
<pivotTableDefinition xmlns="http://schemas.openxmlformats.org/spreadsheetml/2006/main" name="PivotTable5" cacheId="42"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A3:B5" firstHeaderRow="1" firstDataRow="2" firstDataCol="1"/>
  <pivotFields count="8">
    <pivotField axis="axisCol" compact="0" outline="0" subtotalTop="0" showAll="0" includeNewItemsInFilter="1">
      <items count="194">
        <item x="138"/>
        <item x="60"/>
        <item x="133"/>
        <item x="150"/>
        <item x="155"/>
        <item x="109"/>
        <item x="115"/>
        <item x="117"/>
        <item x="43"/>
        <item x="178"/>
        <item x="16"/>
        <item x="163"/>
        <item x="177"/>
        <item x="139"/>
        <item x="40"/>
        <item x="169"/>
        <item x="192"/>
        <item x="105"/>
        <item x="185"/>
        <item x="90"/>
        <item x="37"/>
        <item x="88"/>
        <item x="107"/>
        <item x="0"/>
        <item x="15"/>
        <item x="62"/>
        <item x="53"/>
        <item x="34"/>
        <item x="119"/>
        <item x="64"/>
        <item x="23"/>
        <item x="110"/>
        <item x="31"/>
        <item x="8"/>
        <item x="70"/>
        <item x="122"/>
        <item x="157"/>
        <item x="20"/>
        <item x="146"/>
        <item x="68"/>
        <item x="36"/>
        <item x="67"/>
        <item x="101"/>
        <item x="72"/>
        <item x="73"/>
        <item x="180"/>
        <item x="103"/>
        <item x="129"/>
        <item x="54"/>
        <item x="132"/>
        <item x="172"/>
        <item x="165"/>
        <item x="145"/>
        <item x="71"/>
        <item x="66"/>
        <item x="94"/>
        <item x="176"/>
        <item x="190"/>
        <item x="113"/>
        <item x="112"/>
        <item x="59"/>
        <item x="75"/>
        <item x="65"/>
        <item x="38"/>
        <item x="4"/>
        <item x="143"/>
        <item x="159"/>
        <item x="162"/>
        <item x="102"/>
        <item x="174"/>
        <item x="93"/>
        <item x="160"/>
        <item x="89"/>
        <item x="158"/>
        <item x="18"/>
        <item x="55"/>
        <item x="78"/>
        <item x="96"/>
        <item x="134"/>
        <item x="123"/>
        <item x="41"/>
        <item x="91"/>
        <item x="148"/>
        <item x="149"/>
        <item x="124"/>
        <item x="25"/>
        <item x="49"/>
        <item x="116"/>
        <item x="14"/>
        <item x="63"/>
        <item x="171"/>
        <item x="186"/>
        <item x="142"/>
        <item x="126"/>
        <item x="42"/>
        <item x="27"/>
        <item x="3"/>
        <item x="164"/>
        <item x="5"/>
        <item x="58"/>
        <item x="6"/>
        <item x="161"/>
        <item x="77"/>
        <item x="51"/>
        <item x="50"/>
        <item x="47"/>
        <item x="97"/>
        <item x="30"/>
        <item x="137"/>
        <item x="152"/>
        <item x="61"/>
        <item x="189"/>
        <item x="151"/>
        <item x="99"/>
        <item x="168"/>
        <item x="166"/>
        <item x="114"/>
        <item x="92"/>
        <item x="98"/>
        <item x="74"/>
        <item x="140"/>
        <item x="191"/>
        <item x="100"/>
        <item x="182"/>
        <item x="167"/>
        <item x="181"/>
        <item x="118"/>
        <item x="7"/>
        <item x="183"/>
        <item x="29"/>
        <item x="184"/>
        <item x="135"/>
        <item x="120"/>
        <item x="22"/>
        <item x="21"/>
        <item x="33"/>
        <item x="32"/>
        <item x="44"/>
        <item x="76"/>
        <item x="9"/>
        <item x="144"/>
        <item x="128"/>
        <item x="56"/>
        <item x="26"/>
        <item x="173"/>
        <item x="170"/>
        <item x="13"/>
        <item x="130"/>
        <item x="39"/>
        <item x="95"/>
        <item x="10"/>
        <item x="35"/>
        <item x="45"/>
        <item x="141"/>
        <item x="81"/>
        <item x="84"/>
        <item x="80"/>
        <item x="79"/>
        <item x="83"/>
        <item x="82"/>
        <item x="147"/>
        <item x="125"/>
        <item x="131"/>
        <item x="127"/>
        <item x="156"/>
        <item x="111"/>
        <item x="187"/>
        <item x="11"/>
        <item x="46"/>
        <item x="104"/>
        <item x="175"/>
        <item x="1"/>
        <item x="106"/>
        <item x="136"/>
        <item x="188"/>
        <item x="121"/>
        <item x="86"/>
        <item x="19"/>
        <item x="17"/>
        <item x="2"/>
        <item x="69"/>
        <item x="24"/>
        <item x="28"/>
        <item x="179"/>
        <item x="12"/>
        <item x="57"/>
        <item x="52"/>
        <item x="87"/>
        <item x="48"/>
        <item x="153"/>
        <item x="154"/>
        <item x="85"/>
        <item x="108"/>
        <item t="default"/>
      </items>
    </pivotField>
    <pivotField axis="axisRow" compact="0" outline="0" subtotalTop="0" showAll="0" includeNewItemsInFilter="1">
      <items count="167">
        <item h="1" x="154"/>
        <item h="1" x="75"/>
        <item h="1" x="70"/>
        <item h="1" x="92"/>
        <item h="1" x="2"/>
        <item h="1" x="10"/>
        <item h="1" x="15"/>
        <item h="1" x="57"/>
        <item x="41"/>
        <item x="56"/>
        <item x="116"/>
        <item x="3"/>
        <item x="143"/>
        <item x="128"/>
        <item x="58"/>
        <item x="151"/>
        <item x="157"/>
        <item x="39"/>
        <item x="99"/>
        <item h="1" x="103"/>
        <item h="1" x="118"/>
        <item h="1" x="97"/>
        <item h="1" x="153"/>
        <item h="1" x="31"/>
        <item h="1" x="16"/>
        <item h="1" x="88"/>
        <item h="1" x="110"/>
        <item h="1" x="46"/>
        <item h="1" x="112"/>
        <item h="1" x="98"/>
        <item h="1" x="124"/>
        <item h="1" x="121"/>
        <item h="1" x="84"/>
        <item h="1" x="85"/>
        <item h="1" x="26"/>
        <item h="1" x="130"/>
        <item h="1" x="135"/>
        <item h="1" x="67"/>
        <item h="1" x="106"/>
        <item h="1" x="146"/>
        <item h="1" x="104"/>
        <item h="1" x="94"/>
        <item h="1" x="49"/>
        <item h="1" x="55"/>
        <item h="1" x="19"/>
        <item h="1" x="61"/>
        <item h="1" x="114"/>
        <item h="1" x="160"/>
        <item h="1" x="71"/>
        <item h="1" x="108"/>
        <item h="1" x="66"/>
        <item h="1" x="113"/>
        <item h="1" x="161"/>
        <item h="1" x="165"/>
        <item h="1" x="28"/>
        <item h="1" x="144"/>
        <item h="1" x="7"/>
        <item h="1" x="89"/>
        <item h="1" x="131"/>
        <item h="1" x="69"/>
        <item h="1" x="53"/>
        <item h="1" x="0"/>
        <item h="1" x="105"/>
        <item h="1" x="102"/>
        <item h="1" x="5"/>
        <item h="1" x="47"/>
        <item h="1" x="145"/>
        <item h="1" x="60"/>
        <item h="1" x="40"/>
        <item h="1" x="100"/>
        <item h="1" x="34"/>
        <item h="1" x="95"/>
        <item h="1" x="134"/>
        <item h="1" x="32"/>
        <item h="1" x="45"/>
        <item h="1" x="119"/>
        <item h="1" x="96"/>
        <item h="1" x="73"/>
        <item h="1" x="29"/>
        <item h="1" x="162"/>
        <item h="1" x="163"/>
        <item h="1" x="122"/>
        <item h="1" x="120"/>
        <item h="1" x="12"/>
        <item h="1" x="164"/>
        <item h="1" x="13"/>
        <item h="1" x="62"/>
        <item h="1" x="21"/>
        <item h="1" x="8"/>
        <item h="1" x="149"/>
        <item h="1" x="59"/>
        <item h="1" x="133"/>
        <item h="1" x="18"/>
        <item h="1" x="138"/>
        <item h="1" x="136"/>
        <item h="1" x="52"/>
        <item h="1" x="25"/>
        <item h="1" x="158"/>
        <item h="1" x="123"/>
        <item h="1" x="86"/>
        <item h="1" x="37"/>
        <item h="1" x="11"/>
        <item h="1" x="9"/>
        <item h="1" x="109"/>
        <item h="1" x="137"/>
        <item h="1" x="141"/>
        <item h="1" x="72"/>
        <item h="1" x="150"/>
        <item h="1" x="35"/>
        <item h="1" x="90"/>
        <item h="1" x="63"/>
        <item h="1" x="117"/>
        <item h="1" x="132"/>
        <item h="1" x="64"/>
        <item h="1" x="42"/>
        <item h="1" x="38"/>
        <item h="1" x="79"/>
        <item h="1" x="126"/>
        <item h="1" x="17"/>
        <item h="1" x="140"/>
        <item h="1" x="14"/>
        <item h="1" x="101"/>
        <item h="1" x="50"/>
        <item h="1" x="125"/>
        <item h="1" x="20"/>
        <item h="1" x="33"/>
        <item h="1" x="23"/>
        <item h="1" x="129"/>
        <item h="1" x="4"/>
        <item h="1" x="22"/>
        <item h="1" x="156"/>
        <item h="1" x="159"/>
        <item h="1" x="115"/>
        <item h="1" x="51"/>
        <item h="1" x="80"/>
        <item h="1" x="27"/>
        <item h="1" x="43"/>
        <item h="1" x="6"/>
        <item h="1" x="24"/>
        <item h="1" x="1"/>
        <item h="1" x="155"/>
        <item h="1" x="142"/>
        <item h="1" x="111"/>
        <item h="1" x="107"/>
        <item h="1" x="76"/>
        <item h="1" x="148"/>
        <item h="1" x="30"/>
        <item h="1" x="78"/>
        <item h="1" x="82"/>
        <item h="1" x="139"/>
        <item h="1" x="152"/>
        <item h="1" x="127"/>
        <item h="1" x="65"/>
        <item h="1" x="54"/>
        <item h="1" x="91"/>
        <item h="1" x="44"/>
        <item h="1" x="68"/>
        <item h="1" x="36"/>
        <item h="1" x="147"/>
        <item h="1" x="77"/>
        <item h="1" x="93"/>
        <item h="1" x="87"/>
        <item h="1" x="81"/>
        <item h="1" x="48"/>
        <item h="1" x="74"/>
        <item h="1" x="83"/>
        <item t="default"/>
      </items>
    </pivotField>
    <pivotField compact="0" outline="0" subtotalTop="0" showAll="0" includeNewItemsInFilter="1"/>
    <pivotField compact="0" outline="0" subtotalTop="0" showAll="0" includeNewItemsInFilter="1"/>
    <pivotField dataField="1" compact="0" outline="0" subtotalTop="0" showAll="0" includeNewItemsInFilter="1">
      <items count="15">
        <item h="1" x="0"/>
        <item h="1" x="1"/>
        <item h="1" x="2"/>
        <item h="1" x="3"/>
        <item x="4"/>
        <item h="1" x="5"/>
        <item h="1" x="6"/>
        <item h="1" x="7"/>
        <item h="1" x="8"/>
        <item h="1" x="9"/>
        <item h="1" x="10"/>
        <item h="1" x="11"/>
        <item h="1" x="12"/>
        <item h="1" x="13"/>
        <item t="default"/>
      </items>
    </pivotField>
    <pivotField compact="0" outline="0" subtotalTop="0" showAll="0" includeNewItemsInFilter="1"/>
    <pivotField compact="0" outline="0" subtotalTop="0" showAll="0" includeNewItemsInFilter="1" defaultSubtotal="0">
      <items count="6">
        <item x="0"/>
        <item h="1" x="1"/>
        <item h="1" x="2"/>
        <item h="1" x="3"/>
        <item h="1" x="4"/>
        <item h="1" x="5"/>
      </items>
    </pivotField>
    <pivotField compact="0" outline="0" subtotalTop="0" showAll="0" includeNewItemsInFilter="1" defaultSubtotal="0">
      <items count="13">
        <item h="1" x="0"/>
        <item h="1" x="1"/>
        <item h="1" x="2"/>
        <item h="1" x="3"/>
        <item h="1" x="4"/>
        <item h="1" x="5"/>
        <item h="1" x="6"/>
        <item h="1" x="7"/>
        <item h="1" x="8"/>
        <item h="1" x="9"/>
        <item x="10"/>
        <item h="1" x="11"/>
        <item h="1" x="12"/>
      </items>
    </pivotField>
  </pivotFields>
  <rowFields count="1">
    <field x="1"/>
  </rowFields>
  <rowItems count="1">
    <i t="grand">
      <x/>
    </i>
  </rowItems>
  <colFields count="1">
    <field x="0"/>
  </colFields>
  <colItems count="1">
    <i t="grand">
      <x/>
    </i>
  </colItems>
  <dataFields count="1">
    <dataField name="Count of Closing Date" fld="4" subtotal="count" baseField="0" baseItem="0"/>
  </dataFields>
  <pivotTableStyleInfo showRowHeaders="1" showColHeaders="1" showRowStripes="0" showColStripes="0" showLastColumn="1"/>
</pivotTableDefinition>
</file>

<file path=xl/pivotTables/pivotTable8.xml><?xml version="1.0" encoding="utf-8"?>
<pivotTableDefinition xmlns="http://schemas.openxmlformats.org/spreadsheetml/2006/main" name="PivotTable6" cacheId="42"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9">
  <location ref="A3:B5" firstHeaderRow="2" firstDataRow="2" firstDataCol="1"/>
  <pivotFields count="8">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items count="15">
        <item h="1" x="0"/>
        <item h="1" x="1"/>
        <item h="1" x="2"/>
        <item h="1" x="3"/>
        <item x="4"/>
        <item h="1" x="5"/>
        <item h="1" x="6"/>
        <item h="1" x="7"/>
        <item h="1" x="8"/>
        <item h="1" x="9"/>
        <item h="1" x="10"/>
        <item h="1" x="11"/>
        <item h="1" x="12"/>
        <item h="1" x="13"/>
        <item t="default"/>
      </items>
    </pivotField>
    <pivotField compact="0" outline="0" subtotalTop="0" showAll="0" includeNewItemsInFilter="1"/>
    <pivotField axis="axisRow" compact="0" outline="0" subtotalTop="0" showAll="0" includeNewItemsInFilter="1" defaultSubtotal="0">
      <items count="6">
        <item sd="0" x="0"/>
        <item h="1" sd="0" x="1"/>
        <item h="1" sd="0" x="2"/>
        <item h="1" sd="0" x="3"/>
        <item h="1" sd="0" x="4"/>
        <item h="1" sd="0" x="5"/>
      </items>
    </pivotField>
    <pivotField compact="0" outline="0" subtotalTop="0" showAll="0" includeNewItemsInFilter="1" defaultSubtotal="0">
      <items count="13">
        <item h="1" sd="0" x="0"/>
        <item h="1" sd="0" x="1"/>
        <item h="1" sd="0" x="2"/>
        <item h="1" sd="0" x="3"/>
        <item h="1" sd="0" x="4"/>
        <item h="1" sd="0" x="5"/>
        <item h="1" sd="0" x="6"/>
        <item h="1" sd="0" x="7"/>
        <item h="1" sd="0" x="8"/>
        <item h="1" sd="0" x="9"/>
        <item sd="0" x="10"/>
        <item h="1" sd="0" x="11"/>
        <item h="1" sd="0" x="12"/>
      </items>
    </pivotField>
  </pivotFields>
  <rowFields count="1">
    <field x="6"/>
  </rowFields>
  <rowItems count="1">
    <i t="grand">
      <x/>
    </i>
  </rowItems>
  <colItems count="1">
    <i/>
  </colItems>
  <dataFields count="1">
    <dataField name="Count of Closing Date" fld="4" subtotal="count" baseField="0" baseItem="0"/>
  </dataFields>
  <chartFormats count="10">
    <chartFormat chart="5" format="0"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6" count="1" selected="0">
            <x v="1"/>
          </reference>
        </references>
      </pivotArea>
    </chartFormat>
    <chartFormat chart="7" format="8">
      <pivotArea type="data" outline="0" fieldPosition="0">
        <references count="2">
          <reference field="4294967294" count="1" selected="0">
            <x v="0"/>
          </reference>
          <reference field="6" count="1" selected="0">
            <x v="2"/>
          </reference>
        </references>
      </pivotArea>
    </chartFormat>
    <chartFormat chart="7" format="9">
      <pivotArea type="data" outline="0" fieldPosition="0">
        <references count="2">
          <reference field="4294967294" count="1" selected="0">
            <x v="0"/>
          </reference>
          <reference field="6" count="1" selected="0">
            <x v="3"/>
          </reference>
        </references>
      </pivotArea>
    </chartFormat>
    <chartFormat chart="7" format="10">
      <pivotArea type="data" outline="0" fieldPosition="0">
        <references count="2">
          <reference field="4294967294" count="1" selected="0">
            <x v="0"/>
          </reference>
          <reference field="6" count="1" selected="0">
            <x v="4"/>
          </reference>
        </references>
      </pivotArea>
    </chartFormat>
    <chartFormat chart="5" format="1">
      <pivotArea type="data" outline="0" fieldPosition="0">
        <references count="2">
          <reference field="4294967294" count="1" selected="0">
            <x v="0"/>
          </reference>
          <reference field="6" count="1" selected="0">
            <x v="1"/>
          </reference>
        </references>
      </pivotArea>
    </chartFormat>
    <chartFormat chart="5" format="2">
      <pivotArea type="data" outline="0" fieldPosition="0">
        <references count="2">
          <reference field="4294967294" count="1" selected="0">
            <x v="0"/>
          </reference>
          <reference field="6" count="1" selected="0">
            <x v="2"/>
          </reference>
        </references>
      </pivotArea>
    </chartFormat>
    <chartFormat chart="5" format="3">
      <pivotArea type="data" outline="0" fieldPosition="0">
        <references count="2">
          <reference field="4294967294" count="1" selected="0">
            <x v="0"/>
          </reference>
          <reference field="6" count="1" selected="0">
            <x v="3"/>
          </reference>
        </references>
      </pivotArea>
    </chartFormat>
    <chartFormat chart="5" format="4">
      <pivotArea type="data" outline="0" fieldPosition="0">
        <references count="2">
          <reference field="4294967294" count="1" selected="0">
            <x v="0"/>
          </reference>
          <reference field="6" count="1" selected="0">
            <x v="4"/>
          </reference>
        </references>
      </pivotArea>
    </chartFormat>
  </chartFormats>
  <pivotTableStyleInfo showRowHeaders="1" showColHeaders="1" showRowStripes="0" showColStripes="0" showLastColumn="1"/>
</pivotTableDefinition>
</file>

<file path=xl/pivotTables/pivotTable9.xml><?xml version="1.0" encoding="utf-8"?>
<pivotTableDefinition xmlns="http://schemas.openxmlformats.org/spreadsheetml/2006/main" name="PivotTable9" cacheId="48"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8">
  <location ref="A3:B26" firstHeaderRow="2" firstDataRow="2" firstDataCol="1"/>
  <pivotFields count="7">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numFmtId="15" outline="0" subtotalTop="0" showAll="0" includeNewItemsInFilter="1"/>
    <pivotField compact="0" numFmtId="15" outline="0" subtotalTop="0" showAll="0" includeNewItemsInFilter="1"/>
    <pivotField axis="axisRow" dataField="1" compact="0" outline="0" subtotalTop="0" showAll="0" includeNewItemsInFilter="1">
      <items count="22">
        <item x="2"/>
        <item x="3"/>
        <item x="11"/>
        <item x="13"/>
        <item x="19"/>
        <item x="12"/>
        <item x="18"/>
        <item x="14"/>
        <item x="5"/>
        <item x="20"/>
        <item x="0"/>
        <item x="4"/>
        <item x="9"/>
        <item x="6"/>
        <item x="8"/>
        <item x="7"/>
        <item x="10"/>
        <item x="1"/>
        <item x="15"/>
        <item x="17"/>
        <item x="16"/>
        <item t="default"/>
      </items>
    </pivotField>
  </pivotFields>
  <rowFields count="1">
    <field x="6"/>
  </rowFields>
  <rowItems count="22">
    <i>
      <x/>
    </i>
    <i>
      <x v="1"/>
    </i>
    <i>
      <x v="2"/>
    </i>
    <i>
      <x v="3"/>
    </i>
    <i>
      <x v="4"/>
    </i>
    <i>
      <x v="5"/>
    </i>
    <i>
      <x v="6"/>
    </i>
    <i>
      <x v="7"/>
    </i>
    <i>
      <x v="8"/>
    </i>
    <i>
      <x v="9"/>
    </i>
    <i>
      <x v="10"/>
    </i>
    <i>
      <x v="11"/>
    </i>
    <i>
      <x v="12"/>
    </i>
    <i>
      <x v="13"/>
    </i>
    <i>
      <x v="14"/>
    </i>
    <i>
      <x v="15"/>
    </i>
    <i>
      <x v="16"/>
    </i>
    <i>
      <x v="17"/>
    </i>
    <i>
      <x v="18"/>
    </i>
    <i>
      <x v="19"/>
    </i>
    <i>
      <x v="20"/>
    </i>
    <i t="grand">
      <x/>
    </i>
  </rowItems>
  <colItems count="1">
    <i/>
  </colItems>
  <dataFields count="1">
    <dataField name="Count of FIRST LETTER OF CITY" fld="6" subtotal="count" baseField="0" baseItem="0"/>
  </dataFields>
  <chartFormats count="2">
    <chartFormat chart="14"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10.xml><?xml version="1.0" encoding="utf-8"?>
<pivotTableDefinition xmlns="http://schemas.openxmlformats.org/spreadsheetml/2006/main" name="PivotTable10" cacheId="48"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3">
  <location ref="A3:B26" firstHeaderRow="2" firstDataRow="2" firstDataCol="1"/>
  <pivotFields count="7">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numFmtId="15" outline="0" subtotalTop="0" showAll="0" includeNewItemsInFilter="1"/>
    <pivotField compact="0" numFmtId="15" outline="0" subtotalTop="0" showAll="0" includeNewItemsInFilter="1"/>
    <pivotField axis="axisRow" dataField="1" compact="0" outline="0" subtotalTop="0" showAll="0" includeNewItemsInFilter="1" sortType="descending">
      <items count="22">
        <item x="2"/>
        <item x="3"/>
        <item x="11"/>
        <item x="13"/>
        <item x="19"/>
        <item x="12"/>
        <item x="18"/>
        <item x="14"/>
        <item x="5"/>
        <item x="20"/>
        <item x="0"/>
        <item x="4"/>
        <item x="9"/>
        <item x="6"/>
        <item x="8"/>
        <item x="7"/>
        <item x="10"/>
        <item x="1"/>
        <item x="15"/>
        <item x="17"/>
        <item x="16"/>
        <item t="default"/>
      </items>
      <autoSortScope>
        <pivotArea dataOnly="0" outline="0" fieldPosition="0">
          <references count="1">
            <reference field="4294967294" count="1" selected="0">
              <x v="0"/>
            </reference>
          </references>
        </pivotArea>
      </autoSortScope>
    </pivotField>
  </pivotFields>
  <rowFields count="1">
    <field x="6"/>
  </rowFields>
  <rowItems count="22">
    <i>
      <x v="17"/>
    </i>
    <i>
      <x/>
    </i>
    <i>
      <x v="15"/>
    </i>
    <i>
      <x v="2"/>
    </i>
    <i>
      <x v="11"/>
    </i>
    <i>
      <x v="1"/>
    </i>
    <i>
      <x v="12"/>
    </i>
    <i>
      <x v="20"/>
    </i>
    <i>
      <x v="13"/>
    </i>
    <i>
      <x v="7"/>
    </i>
    <i>
      <x v="16"/>
    </i>
    <i>
      <x v="14"/>
    </i>
    <i>
      <x v="18"/>
    </i>
    <i>
      <x v="4"/>
    </i>
    <i>
      <x v="6"/>
    </i>
    <i>
      <x v="5"/>
    </i>
    <i>
      <x v="10"/>
    </i>
    <i>
      <x v="3"/>
    </i>
    <i>
      <x v="19"/>
    </i>
    <i>
      <x v="8"/>
    </i>
    <i>
      <x v="9"/>
    </i>
    <i t="grand">
      <x/>
    </i>
  </rowItems>
  <colItems count="1">
    <i/>
  </colItems>
  <dataFields count="1">
    <dataField name="Count of FIRST LETTER OF CITY" fld="6" subtotal="count" showDataAs="percentOfTotal" baseField="0" baseItem="0" numFmtId="10"/>
  </dataFields>
  <pivotTableStyleInfo showRowHeaders="1" showColHeaders="1" showRowStripes="0" showColStripes="0" showLastColumn="1"/>
</pivotTableDefinition>
</file>

<file path=xl/pivotTables/pivotTable11.xml><?xml version="1.0" encoding="utf-8"?>
<pivotTableDefinition xmlns="http://schemas.openxmlformats.org/spreadsheetml/2006/main" name="PivotTable11" cacheId="45"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7">
  <location ref="A3:B6" firstHeaderRow="2" firstDataRow="2" firstDataCol="1"/>
  <pivotFields count="8">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numFmtId="15" outline="0" subtotalTop="0" showAll="0" includeNewItemsInFilter="1"/>
    <pivotField compact="0" numFmtId="15" outline="0" subtotalTop="0" showAll="0" includeNewItemsInFilter="1"/>
    <pivotField compact="0" outline="0" subtotalTop="0" showAll="0" includeNewItemsInFilter="1"/>
    <pivotField axis="axisRow" compact="0" outline="0" subtotalTop="0" showAll="0" includeNewItemsInFilter="1">
      <items count="7">
        <item x="4"/>
        <item h="1" x="3"/>
        <item h="1" x="5"/>
        <item h="1" x="1"/>
        <item h="1" x="0"/>
        <item h="1" x="2"/>
        <item t="default"/>
      </items>
    </pivotField>
  </pivotFields>
  <rowFields count="1">
    <field x="7"/>
  </rowFields>
  <rowItems count="2">
    <i>
      <x/>
    </i>
    <i t="grand">
      <x/>
    </i>
  </rowItems>
  <colItems count="1">
    <i/>
  </colItems>
  <dataFields count="1">
    <dataField name="Count of Closing Date" fld="4" subtotal="count" showDataAs="percentOfTotal" baseField="0" baseItem="0" numFmtId="10"/>
  </dataFields>
  <chartFormats count="3">
    <chartFormat chart="13"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losing_Date" sourceName="Closing Date">
  <pivotTables>
    <pivotTable tabId="10" name="PivotTable6"/>
    <pivotTable tabId="8" name="PivotTable4"/>
    <pivotTable tabId="12" name="PivotTable8"/>
    <pivotTable tabId="6" name="PivotTable2"/>
    <pivotTable tabId="5" name="PivotTable1"/>
    <pivotTable tabId="7" name="PivotTable3"/>
    <pivotTable tabId="9" name="PivotTable5"/>
    <pivotTable tabId="3" name="PivotTable6"/>
  </pivotTables>
  <data>
    <tabular pivotCacheId="1">
      <items count="14">
        <i x="1" nd="1"/>
        <i x="2" nd="1"/>
        <i x="3" nd="1"/>
        <i x="4" s="1" nd="1"/>
        <i x="5" nd="1"/>
        <i x="6" nd="1"/>
        <i x="7" nd="1"/>
        <i x="8" nd="1"/>
        <i x="9" nd="1"/>
        <i x="10" nd="1"/>
        <i x="11" nd="1"/>
        <i x="12" nd="1"/>
        <i x="0" nd="1"/>
        <i x="1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Quarters" sourceName="Quarters">
  <pivotTables>
    <pivotTable tabId="10" name="PivotTable6"/>
    <pivotTable tabId="8" name="PivotTable4"/>
    <pivotTable tabId="12" name="PivotTable8"/>
    <pivotTable tabId="6" name="PivotTable2"/>
    <pivotTable tabId="5" name="PivotTable1"/>
    <pivotTable tabId="7" name="PivotTable3"/>
    <pivotTable tabId="9" name="PivotTable5"/>
    <pivotTable tabId="3" name="PivotTable6"/>
  </pivotTables>
  <data>
    <tabular pivotCacheId="1">
      <items count="6">
        <i x="2"/>
        <i x="0" s="1" nd="1"/>
        <i x="5" nd="1"/>
        <i x="1" nd="1"/>
        <i x="3" nd="1"/>
        <i x="4"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Years" sourceName="Years">
  <pivotTables>
    <pivotTable tabId="8" name="PivotTable4"/>
    <pivotTable tabId="12" name="PivotTable8"/>
    <pivotTable tabId="6" name="PivotTable2"/>
    <pivotTable tabId="5" name="PivotTable1"/>
    <pivotTable tabId="7" name="PivotTable3"/>
    <pivotTable tabId="9" name="PivotTable5"/>
    <pivotTable tabId="10" name="PivotTable6"/>
    <pivotTable tabId="3" name="PivotTable6"/>
  </pivotTables>
  <data>
    <tabular pivotCacheId="1">
      <items count="13">
        <i x="0" nd="1"/>
        <i x="12" nd="1"/>
        <i x="1" nd="1"/>
        <i x="2" nd="1"/>
        <i x="3" nd="1"/>
        <i x="4" nd="1"/>
        <i x="5" nd="1"/>
        <i x="6" nd="1"/>
        <i x="7" nd="1"/>
        <i x="8" nd="1"/>
        <i x="9" nd="1"/>
        <i x="10" s="1" nd="1"/>
        <i x="1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DAYS_OF_THE_WEEK" sourceName="DAYS OF THE WEEK">
  <pivotTables>
    <pivotTable tabId="16" name="PivotTable11"/>
  </pivotTables>
  <data>
    <tabular pivotCacheId="3">
      <items count="6">
        <i x="4" s="1"/>
        <i x="3"/>
        <i x="5"/>
        <i x="1"/>
        <i x="0"/>
        <i x="2"/>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IRST_LETTER_OF_CITY" sourceName="FIRST LETTER OF CITY">
  <pivotTables>
    <pivotTable tabId="14" name="PivotTable9"/>
    <pivotTable tabId="15" name="PivotTable10"/>
  </pivotTables>
  <data>
    <tabular pivotCacheId="2">
      <items count="21">
        <i x="2" s="1"/>
        <i x="3" s="1"/>
        <i x="11" s="1"/>
        <i x="13" s="1"/>
        <i x="19" s="1"/>
        <i x="12" s="1"/>
        <i x="18" s="1"/>
        <i x="14" s="1"/>
        <i x="5" s="1"/>
        <i x="20" s="1"/>
        <i x="0" s="1"/>
        <i x="4" s="1"/>
        <i x="9" s="1"/>
        <i x="6" s="1"/>
        <i x="8" s="1"/>
        <i x="7" s="1"/>
        <i x="10" s="1"/>
        <i x="1" s="1"/>
        <i x="15" s="1"/>
        <i x="17" s="1"/>
        <i x="1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losing Date" cache="Slicer_Closing_Date" caption="Closing Date" rowHeight="225425"/>
  <slicer name="Quarters" cache="Slicer_Quarters" caption="Quarters" rowHeight="225425"/>
  <slicer name="Years" cache="Slicer_Years" caption="Years" rowHeight="225425"/>
  <slicer name="DAYS OF THE WEEK" cache="Slicer_DAYS_OF_THE_WEEK" caption="DAYS OF THE WEEK" rowHeight="225425"/>
  <slicer name="FIRST LETTER OF CITY" cache="Slicer_FIRST_LETTER_OF_CITY" caption="FIRST LETTER OF CITY" rowHeight="22542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bin"/><Relationship Id="rId1" Type="http://schemas.openxmlformats.org/officeDocument/2006/relationships/hyperlink" Target="http://www.data.gov/" TargetMode="Externa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5"/>
  <sheetViews>
    <sheetView workbookViewId="0">
      <selection activeCell="K9" sqref="K9"/>
    </sheetView>
  </sheetViews>
  <sheetFormatPr defaultRowHeight="12.75" x14ac:dyDescent="0.2"/>
  <cols>
    <col min="1" max="1" width="19.28515625" customWidth="1"/>
    <col min="2" max="2" width="10.5703125" customWidth="1"/>
    <col min="3" max="3" width="10.5703125" bestFit="1" customWidth="1"/>
    <col min="4" max="4" width="8.140625" bestFit="1" customWidth="1"/>
    <col min="5" max="10" width="8.140625" customWidth="1"/>
    <col min="11" max="11" width="10.5703125" customWidth="1"/>
    <col min="12" max="194" width="40.140625" bestFit="1" customWidth="1"/>
    <col min="195" max="195" width="10.5703125" bestFit="1" customWidth="1"/>
  </cols>
  <sheetData>
    <row r="3" spans="1:2" x14ac:dyDescent="0.2">
      <c r="A3" s="25" t="s">
        <v>427</v>
      </c>
      <c r="B3" s="39" t="s">
        <v>429</v>
      </c>
    </row>
    <row r="4" spans="1:2" x14ac:dyDescent="0.2">
      <c r="A4" s="25" t="s">
        <v>0</v>
      </c>
      <c r="B4" s="27" t="s">
        <v>425</v>
      </c>
    </row>
    <row r="5" spans="1:2" x14ac:dyDescent="0.2">
      <c r="A5" s="26" t="s">
        <v>425</v>
      </c>
      <c r="B5" s="2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5"/>
  <sheetViews>
    <sheetView workbookViewId="0">
      <selection activeCell="B7" sqref="B7"/>
    </sheetView>
  </sheetViews>
  <sheetFormatPr defaultRowHeight="12.75" x14ac:dyDescent="0.2"/>
  <cols>
    <col min="1" max="1" width="19.28515625" bestFit="1" customWidth="1"/>
    <col min="2" max="2" width="5" bestFit="1" customWidth="1"/>
  </cols>
  <sheetData>
    <row r="3" spans="1:2" x14ac:dyDescent="0.2">
      <c r="A3" s="25" t="s">
        <v>427</v>
      </c>
      <c r="B3" s="27"/>
    </row>
    <row r="4" spans="1:2" x14ac:dyDescent="0.2">
      <c r="A4" s="25" t="s">
        <v>2</v>
      </c>
      <c r="B4" s="27" t="s">
        <v>428</v>
      </c>
    </row>
    <row r="5" spans="1:2" x14ac:dyDescent="0.2">
      <c r="A5" s="26" t="s">
        <v>425</v>
      </c>
      <c r="B5" s="2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5"/>
  <sheetViews>
    <sheetView workbookViewId="0">
      <selection activeCell="B5" sqref="B5"/>
    </sheetView>
  </sheetViews>
  <sheetFormatPr defaultRowHeight="12.75" x14ac:dyDescent="0.2"/>
  <cols>
    <col min="1" max="1" width="19.28515625" bestFit="1" customWidth="1"/>
    <col min="2" max="2" width="5" customWidth="1"/>
  </cols>
  <sheetData>
    <row r="3" spans="1:2" x14ac:dyDescent="0.2">
      <c r="A3" s="25" t="s">
        <v>427</v>
      </c>
      <c r="B3" s="27"/>
    </row>
    <row r="4" spans="1:2" x14ac:dyDescent="0.2">
      <c r="A4" s="25" t="s">
        <v>426</v>
      </c>
      <c r="B4" s="27" t="s">
        <v>428</v>
      </c>
    </row>
    <row r="5" spans="1:2" x14ac:dyDescent="0.2">
      <c r="A5" s="26" t="s">
        <v>425</v>
      </c>
      <c r="B5" s="2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5"/>
  <sheetViews>
    <sheetView workbookViewId="0">
      <selection activeCell="A5" sqref="A5 A7 A9 A11 A13 A15 A17 A19 A21 A23 A25 A27:A28 A30 A32 A34 A36 A38 A40 A42 A44 A46 A48 A50 A52 A54 A56 A58 A60 A62 A64 A66 A68 A70 A72 A74 A76 A78 A80 A82 A84 A86 A88 A90 A92 A94 A96 A98 A100 A102 A104 A106 A108 A110 A112 A114 A116 A118 A120 A122 A124 A126 A128 A130 A132 A134 A136 A138 A140 A142 A144 A146 A148 A150 A152 A154 A156 A158 A160 A162 A164 A166 A168 A170 A172 A174 A176 A178 A180 A182 A184 A186 A188 A190 A192 A194 A196 A198 A200 A202 A204 A206 A208 A210 A212 A214 A216 A218 A220 A222 A224 A226 A228 A230 A232 A234 A236 A238 A240 A242 A244 A246 A248 A250 A252 A254 A256 A258 A260 A262 A264 A266 A268 A270 A272 A274 A276 A278 A280 A282 A284 A286 A288 A290 A292 A294 A296 A298 A300 A302 A304 A306 A308 A310 A312 A314 A316 A318 A320 A322 A324 A326 A328 A330 A332 A334 A336"/>
      <pivotSelection pane="bottomRight" showHeader="1" dimension="1" activeRow="6" activeCol="1" click="1" r:id="rId1">
        <pivotArea dataOnly="0" labelOnly="1" outline="0" fieldPosition="0">
          <references count="1">
            <reference field="1" count="0"/>
          </references>
        </pivotArea>
      </pivotSelection>
    </sheetView>
  </sheetViews>
  <sheetFormatPr defaultRowHeight="12.75" x14ac:dyDescent="0.2"/>
  <cols>
    <col min="1" max="1" width="19.28515625" bestFit="1" customWidth="1"/>
    <col min="2" max="2" width="7.7109375" bestFit="1" customWidth="1"/>
    <col min="3" max="3" width="5" customWidth="1"/>
    <col min="4" max="6" width="10.42578125" customWidth="1"/>
    <col min="7" max="7" width="10.5703125" customWidth="1"/>
    <col min="8" max="11" width="13.85546875" bestFit="1" customWidth="1"/>
    <col min="12" max="12" width="10.5703125" bestFit="1" customWidth="1"/>
    <col min="13" max="14" width="13.85546875" bestFit="1" customWidth="1"/>
    <col min="15" max="15" width="10.5703125" bestFit="1" customWidth="1"/>
    <col min="16" max="16" width="13.140625" bestFit="1" customWidth="1"/>
    <col min="17" max="17" width="7.85546875" bestFit="1" customWidth="1"/>
    <col min="18" max="18" width="11.140625" bestFit="1" customWidth="1"/>
    <col min="19" max="19" width="10.28515625" bestFit="1" customWidth="1"/>
    <col min="20" max="20" width="10.85546875" bestFit="1" customWidth="1"/>
    <col min="21" max="21" width="8.28515625" bestFit="1" customWidth="1"/>
    <col min="22" max="22" width="8.7109375" bestFit="1" customWidth="1"/>
    <col min="23" max="23" width="9.7109375" bestFit="1" customWidth="1"/>
    <col min="24" max="24" width="7.85546875" bestFit="1" customWidth="1"/>
    <col min="25" max="25" width="10.140625" bestFit="1" customWidth="1"/>
    <col min="26" max="26" width="7.140625" bestFit="1" customWidth="1"/>
    <col min="27" max="27" width="10.28515625" bestFit="1" customWidth="1"/>
    <col min="28" max="28" width="9.28515625" bestFit="1" customWidth="1"/>
    <col min="29" max="29" width="10.28515625" bestFit="1" customWidth="1"/>
    <col min="30" max="30" width="10" bestFit="1" customWidth="1"/>
    <col min="31" max="31" width="7.28515625" bestFit="1" customWidth="1"/>
    <col min="32" max="32" width="9.5703125" bestFit="1" customWidth="1"/>
    <col min="33" max="33" width="8.85546875" bestFit="1" customWidth="1"/>
    <col min="34" max="34" width="7.42578125" bestFit="1" customWidth="1"/>
    <col min="35" max="35" width="6.7109375" bestFit="1" customWidth="1"/>
    <col min="36" max="36" width="8.42578125" bestFit="1" customWidth="1"/>
    <col min="37" max="37" width="15.28515625" bestFit="1" customWidth="1"/>
    <col min="38" max="38" width="12.5703125" bestFit="1" customWidth="1"/>
    <col min="39" max="39" width="9.28515625" bestFit="1" customWidth="1"/>
    <col min="40" max="40" width="8.5703125" bestFit="1" customWidth="1"/>
    <col min="41" max="41" width="10" bestFit="1" customWidth="1"/>
    <col min="42" max="42" width="8.7109375" bestFit="1" customWidth="1"/>
    <col min="43" max="43" width="11.7109375" bestFit="1" customWidth="1"/>
    <col min="44" max="44" width="9.5703125" bestFit="1" customWidth="1"/>
    <col min="45" max="45" width="6.85546875" bestFit="1" customWidth="1"/>
    <col min="46" max="46" width="9.5703125" bestFit="1" customWidth="1"/>
    <col min="47" max="47" width="9.85546875" bestFit="1" customWidth="1"/>
    <col min="48" max="48" width="7.28515625" bestFit="1" customWidth="1"/>
    <col min="49" max="49" width="6.140625" bestFit="1" customWidth="1"/>
    <col min="50" max="50" width="7" bestFit="1" customWidth="1"/>
    <col min="51" max="51" width="7.28515625" bestFit="1" customWidth="1"/>
    <col min="52" max="52" width="9.5703125" bestFit="1" customWidth="1"/>
    <col min="53" max="53" width="6.42578125" bestFit="1" customWidth="1"/>
    <col min="54" max="54" width="8.28515625" bestFit="1" customWidth="1"/>
    <col min="55" max="55" width="6.28515625" bestFit="1" customWidth="1"/>
    <col min="56" max="56" width="10.28515625" bestFit="1" customWidth="1"/>
    <col min="57" max="57" width="6.28515625" bestFit="1" customWidth="1"/>
    <col min="58" max="58" width="7" bestFit="1" customWidth="1"/>
    <col min="59" max="59" width="5.28515625" bestFit="1" customWidth="1"/>
    <col min="60" max="60" width="5.7109375" bestFit="1" customWidth="1"/>
    <col min="61" max="61" width="4.7109375" bestFit="1" customWidth="1"/>
    <col min="62" max="62" width="11" bestFit="1" customWidth="1"/>
    <col min="63" max="63" width="7.85546875" bestFit="1" customWidth="1"/>
    <col min="64" max="64" width="8.140625" bestFit="1" customWidth="1"/>
    <col min="65" max="65" width="14.5703125" bestFit="1" customWidth="1"/>
    <col min="66" max="66" width="6.7109375" bestFit="1" customWidth="1"/>
    <col min="67" max="67" width="10.28515625" bestFit="1" customWidth="1"/>
    <col min="68" max="68" width="5.28515625" bestFit="1" customWidth="1"/>
    <col min="69" max="69" width="8" bestFit="1" customWidth="1"/>
    <col min="70" max="70" width="12.7109375" bestFit="1" customWidth="1"/>
    <col min="71" max="71" width="10.85546875" bestFit="1" customWidth="1"/>
    <col min="72" max="72" width="9.85546875" bestFit="1" customWidth="1"/>
    <col min="73" max="73" width="10" bestFit="1" customWidth="1"/>
    <col min="74" max="74" width="12.140625" bestFit="1" customWidth="1"/>
    <col min="75" max="76" width="6.42578125" bestFit="1" customWidth="1"/>
    <col min="77" max="77" width="9.140625" bestFit="1" customWidth="1"/>
    <col min="78" max="78" width="10.85546875" bestFit="1" customWidth="1"/>
    <col min="79" max="79" width="7.85546875" bestFit="1" customWidth="1"/>
    <col min="80" max="80" width="11.28515625" bestFit="1" customWidth="1"/>
    <col min="81" max="81" width="5" bestFit="1" customWidth="1"/>
    <col min="82" max="82" width="9" bestFit="1" customWidth="1"/>
    <col min="83" max="83" width="7.42578125" bestFit="1" customWidth="1"/>
    <col min="84" max="84" width="9.5703125" bestFit="1" customWidth="1"/>
    <col min="85" max="85" width="6.5703125" bestFit="1" customWidth="1"/>
    <col min="86" max="86" width="7" bestFit="1" customWidth="1"/>
    <col min="87" max="87" width="6.42578125" bestFit="1" customWidth="1"/>
    <col min="88" max="88" width="9.5703125" bestFit="1" customWidth="1"/>
    <col min="89" max="89" width="8.140625" bestFit="1" customWidth="1"/>
    <col min="90" max="90" width="9.85546875" bestFit="1" customWidth="1"/>
    <col min="91" max="91" width="8.140625" bestFit="1" customWidth="1"/>
    <col min="92" max="92" width="8.42578125" bestFit="1" customWidth="1"/>
    <col min="93" max="93" width="6.28515625" bestFit="1" customWidth="1"/>
    <col min="94" max="94" width="8.42578125" bestFit="1" customWidth="1"/>
    <col min="95" max="95" width="5.85546875" bestFit="1" customWidth="1"/>
    <col min="96" max="96" width="7.85546875" bestFit="1" customWidth="1"/>
    <col min="97" max="97" width="7.42578125" bestFit="1" customWidth="1"/>
    <col min="98" max="98" width="5.85546875" bestFit="1" customWidth="1"/>
    <col min="99" max="99" width="5.140625" bestFit="1" customWidth="1"/>
    <col min="100" max="100" width="7" bestFit="1" customWidth="1"/>
    <col min="101" max="101" width="7.85546875" bestFit="1" customWidth="1"/>
    <col min="102" max="102" width="11.7109375" bestFit="1" customWidth="1"/>
    <col min="103" max="103" width="6.42578125" bestFit="1" customWidth="1"/>
    <col min="104" max="104" width="8.7109375" bestFit="1" customWidth="1"/>
    <col min="105" max="105" width="10.140625" bestFit="1" customWidth="1"/>
    <col min="106" max="106" width="5.42578125" bestFit="1" customWidth="1"/>
    <col min="107" max="107" width="8.28515625" bestFit="1" customWidth="1"/>
    <col min="108" max="108" width="10.85546875" bestFit="1" customWidth="1"/>
    <col min="109" max="109" width="9.5703125" bestFit="1" customWidth="1"/>
    <col min="110" max="110" width="12.28515625" bestFit="1" customWidth="1"/>
    <col min="111" max="111" width="8.42578125" bestFit="1" customWidth="1"/>
    <col min="112" max="112" width="7.85546875" bestFit="1" customWidth="1"/>
    <col min="113" max="113" width="7.28515625" bestFit="1" customWidth="1"/>
    <col min="114" max="114" width="6.7109375" bestFit="1" customWidth="1"/>
    <col min="115" max="115" width="6" bestFit="1" customWidth="1"/>
    <col min="116" max="116" width="18" bestFit="1" customWidth="1"/>
    <col min="117" max="117" width="8.42578125" bestFit="1" customWidth="1"/>
    <col min="118" max="118" width="8.7109375" bestFit="1" customWidth="1"/>
    <col min="119" max="119" width="9.85546875" bestFit="1" customWidth="1"/>
    <col min="120" max="120" width="6.85546875" bestFit="1" customWidth="1"/>
    <col min="121" max="121" width="11.85546875" bestFit="1" customWidth="1"/>
    <col min="122" max="122" width="15.140625" bestFit="1" customWidth="1"/>
    <col min="123" max="123" width="6.5703125" bestFit="1" customWidth="1"/>
    <col min="124" max="124" width="12.7109375" bestFit="1" customWidth="1"/>
    <col min="125" max="125" width="7.140625" bestFit="1" customWidth="1"/>
    <col min="126" max="126" width="10.7109375" bestFit="1" customWidth="1"/>
    <col min="127" max="127" width="11.140625" bestFit="1" customWidth="1"/>
    <col min="128" max="128" width="12.42578125" bestFit="1" customWidth="1"/>
    <col min="129" max="129" width="9" bestFit="1" customWidth="1"/>
    <col min="130" max="130" width="15.140625" bestFit="1" customWidth="1"/>
    <col min="131" max="131" width="8.85546875" bestFit="1" customWidth="1"/>
    <col min="132" max="132" width="8" bestFit="1" customWidth="1"/>
    <col min="133" max="133" width="8.42578125" bestFit="1" customWidth="1"/>
    <col min="134" max="134" width="10.28515625" bestFit="1" customWidth="1"/>
    <col min="135" max="135" width="8.85546875" bestFit="1" customWidth="1"/>
    <col min="136" max="136" width="11.5703125" bestFit="1" customWidth="1"/>
    <col min="137" max="137" width="8.140625" bestFit="1" customWidth="1"/>
    <col min="138" max="138" width="8.42578125" bestFit="1" customWidth="1"/>
    <col min="139" max="139" width="6.5703125" bestFit="1" customWidth="1"/>
    <col min="140" max="140" width="8.42578125" bestFit="1" customWidth="1"/>
    <col min="141" max="141" width="11" bestFit="1" customWidth="1"/>
    <col min="142" max="142" width="10.85546875" bestFit="1" customWidth="1"/>
    <col min="143" max="143" width="11.140625" bestFit="1" customWidth="1"/>
    <col min="144" max="144" width="8.5703125" bestFit="1" customWidth="1"/>
    <col min="145" max="145" width="10.42578125" bestFit="1" customWidth="1"/>
    <col min="146" max="146" width="7" bestFit="1" customWidth="1"/>
    <col min="147" max="147" width="9.42578125" bestFit="1" customWidth="1"/>
    <col min="148" max="148" width="11" bestFit="1" customWidth="1"/>
    <col min="149" max="149" width="6" bestFit="1" customWidth="1"/>
    <col min="150" max="150" width="8.140625" bestFit="1" customWidth="1"/>
    <col min="151" max="151" width="5.5703125" bestFit="1" customWidth="1"/>
    <col min="152" max="152" width="6.7109375" bestFit="1" customWidth="1"/>
    <col min="153" max="153" width="9.5703125" bestFit="1" customWidth="1"/>
    <col min="154" max="154" width="8.85546875" bestFit="1" customWidth="1"/>
    <col min="155" max="155" width="9.140625" bestFit="1" customWidth="1"/>
    <col min="156" max="156" width="12.42578125" bestFit="1" customWidth="1"/>
    <col min="157" max="157" width="11.28515625" bestFit="1" customWidth="1"/>
    <col min="158" max="158" width="11.5703125" bestFit="1" customWidth="1"/>
    <col min="159" max="159" width="10.140625" bestFit="1" customWidth="1"/>
    <col min="160" max="160" width="13.140625" bestFit="1" customWidth="1"/>
    <col min="161" max="161" width="5.5703125" bestFit="1" customWidth="1"/>
    <col min="162" max="162" width="6.85546875" bestFit="1" customWidth="1"/>
    <col min="163" max="163" width="10.7109375" bestFit="1" customWidth="1"/>
    <col min="164" max="164" width="10.42578125" bestFit="1" customWidth="1"/>
    <col min="165" max="165" width="10.85546875" bestFit="1" customWidth="1"/>
    <col min="166" max="166" width="6.28515625" bestFit="1" customWidth="1"/>
    <col min="167" max="167" width="7.140625" bestFit="1" customWidth="1"/>
    <col min="168" max="168" width="10.5703125" bestFit="1" customWidth="1"/>
  </cols>
  <sheetData>
    <row r="3" spans="1:3" x14ac:dyDescent="0.2">
      <c r="A3" s="25" t="s">
        <v>427</v>
      </c>
      <c r="B3" s="24"/>
      <c r="C3" s="27"/>
    </row>
    <row r="4" spans="1:3" x14ac:dyDescent="0.2">
      <c r="A4" s="25" t="s">
        <v>1</v>
      </c>
      <c r="B4" s="25" t="s">
        <v>2</v>
      </c>
      <c r="C4" s="27" t="s">
        <v>428</v>
      </c>
    </row>
    <row r="5" spans="1:3" x14ac:dyDescent="0.2">
      <c r="A5" s="26" t="s">
        <v>425</v>
      </c>
      <c r="B5" s="32"/>
      <c r="C5" s="2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5"/>
  <sheetViews>
    <sheetView workbookViewId="0">
      <selection activeCell="B11" sqref="B11"/>
    </sheetView>
  </sheetViews>
  <sheetFormatPr defaultRowHeight="12.75" x14ac:dyDescent="0.2"/>
  <cols>
    <col min="1" max="1" width="19.28515625" customWidth="1"/>
    <col min="2" max="2" width="7" customWidth="1"/>
    <col min="3" max="194" width="40.140625" bestFit="1" customWidth="1"/>
    <col min="195" max="195" width="10.5703125" bestFit="1" customWidth="1"/>
  </cols>
  <sheetData>
    <row r="3" spans="1:2" x14ac:dyDescent="0.2">
      <c r="A3" s="25" t="s">
        <v>427</v>
      </c>
      <c r="B3" s="27"/>
    </row>
    <row r="4" spans="1:2" x14ac:dyDescent="0.2">
      <c r="A4" s="25" t="s">
        <v>429</v>
      </c>
      <c r="B4" s="27" t="s">
        <v>428</v>
      </c>
    </row>
    <row r="5" spans="1:2" x14ac:dyDescent="0.2">
      <c r="A5" s="26" t="s">
        <v>425</v>
      </c>
      <c r="B5" s="35" t="e">
        <v>#DIV/0!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5"/>
  <sheetViews>
    <sheetView workbookViewId="0">
      <selection activeCell="A6" sqref="A6"/>
    </sheetView>
  </sheetViews>
  <sheetFormatPr defaultRowHeight="12.75" x14ac:dyDescent="0.2"/>
  <cols>
    <col min="1" max="1" width="19.28515625" customWidth="1"/>
    <col min="2" max="2" width="10.5703125" customWidth="1"/>
    <col min="3" max="3" width="10.5703125" bestFit="1" customWidth="1"/>
    <col min="4" max="10" width="8.140625" bestFit="1" customWidth="1"/>
    <col min="11" max="11" width="10.5703125" bestFit="1" customWidth="1"/>
    <col min="12" max="13" width="4.140625" bestFit="1" customWidth="1"/>
    <col min="14" max="14" width="3.85546875" bestFit="1" customWidth="1"/>
    <col min="15" max="15" width="4.5703125" bestFit="1" customWidth="1"/>
    <col min="16" max="16" width="3.85546875" bestFit="1" customWidth="1"/>
    <col min="17" max="17" width="3.28515625" bestFit="1" customWidth="1"/>
    <col min="18" max="19" width="4.28515625" bestFit="1" customWidth="1"/>
    <col min="20" max="21" width="4" bestFit="1" customWidth="1"/>
    <col min="22" max="22" width="4.28515625" bestFit="1" customWidth="1"/>
    <col min="23" max="23" width="10.5703125" bestFit="1" customWidth="1"/>
    <col min="24" max="26" width="10.42578125" bestFit="1" customWidth="1"/>
    <col min="27" max="27" width="10.5703125" bestFit="1" customWidth="1"/>
  </cols>
  <sheetData>
    <row r="3" spans="1:2" x14ac:dyDescent="0.2">
      <c r="A3" s="25" t="s">
        <v>427</v>
      </c>
      <c r="B3" s="39" t="s">
        <v>429</v>
      </c>
    </row>
    <row r="4" spans="1:2" x14ac:dyDescent="0.2">
      <c r="A4" s="25" t="s">
        <v>4</v>
      </c>
      <c r="B4" s="27" t="s">
        <v>425</v>
      </c>
    </row>
    <row r="5" spans="1:2" x14ac:dyDescent="0.2">
      <c r="A5" s="26" t="s">
        <v>425</v>
      </c>
      <c r="B5" s="29"/>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18"/>
  <sheetViews>
    <sheetView workbookViewId="0">
      <selection activeCell="D5" sqref="D5"/>
    </sheetView>
  </sheetViews>
  <sheetFormatPr defaultRowHeight="12.75" x14ac:dyDescent="0.2"/>
  <cols>
    <col min="1" max="1" width="19.28515625" bestFit="1" customWidth="1"/>
    <col min="2" max="2" width="13" customWidth="1"/>
    <col min="3" max="3" width="10.5703125" customWidth="1"/>
    <col min="4" max="12" width="31.42578125" customWidth="1"/>
    <col min="13" max="14" width="31.42578125" bestFit="1" customWidth="1"/>
    <col min="15" max="15" width="10.5703125" customWidth="1"/>
    <col min="16" max="194" width="40.140625" bestFit="1" customWidth="1"/>
    <col min="195" max="195" width="10.5703125" bestFit="1" customWidth="1"/>
  </cols>
  <sheetData>
    <row r="3" spans="1:2" x14ac:dyDescent="0.2">
      <c r="A3" s="25" t="s">
        <v>427</v>
      </c>
      <c r="B3" s="39" t="s">
        <v>0</v>
      </c>
    </row>
    <row r="4" spans="1:2" x14ac:dyDescent="0.2">
      <c r="A4" s="25" t="s">
        <v>1</v>
      </c>
      <c r="B4" s="27" t="s">
        <v>425</v>
      </c>
    </row>
    <row r="5" spans="1:2" x14ac:dyDescent="0.2">
      <c r="A5" s="26" t="s">
        <v>425</v>
      </c>
      <c r="B5" s="29"/>
    </row>
    <row r="18" spans="1:2" x14ac:dyDescent="0.2">
      <c r="A18" t="s">
        <v>430</v>
      </c>
      <c r="B18">
        <v>13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5"/>
  <sheetViews>
    <sheetView workbookViewId="0">
      <selection activeCell="A6" sqref="A5:A8"/>
    </sheetView>
  </sheetViews>
  <sheetFormatPr defaultRowHeight="12.75" x14ac:dyDescent="0.2"/>
  <cols>
    <col min="1" max="1" width="19.28515625" bestFit="1" customWidth="1"/>
    <col min="2" max="4" width="5" customWidth="1"/>
  </cols>
  <sheetData>
    <row r="3" spans="1:2" x14ac:dyDescent="0.2">
      <c r="A3" s="25" t="s">
        <v>427</v>
      </c>
      <c r="B3" s="27"/>
    </row>
    <row r="4" spans="1:2" x14ac:dyDescent="0.2">
      <c r="A4" s="25" t="s">
        <v>426</v>
      </c>
      <c r="B4" s="27" t="s">
        <v>428</v>
      </c>
    </row>
    <row r="5" spans="1:2" x14ac:dyDescent="0.2">
      <c r="A5" s="26" t="s">
        <v>425</v>
      </c>
      <c r="B5" s="29"/>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26"/>
  <sheetViews>
    <sheetView workbookViewId="0">
      <selection activeCell="A10" sqref="A5:A25"/>
    </sheetView>
  </sheetViews>
  <sheetFormatPr defaultRowHeight="12.75" x14ac:dyDescent="0.2"/>
  <cols>
    <col min="1" max="1" width="29.28515625" bestFit="1" customWidth="1"/>
    <col min="2" max="2" width="5" bestFit="1" customWidth="1"/>
  </cols>
  <sheetData>
    <row r="3" spans="1:2" x14ac:dyDescent="0.2">
      <c r="A3" s="25" t="s">
        <v>453</v>
      </c>
      <c r="B3" s="27"/>
    </row>
    <row r="4" spans="1:2" x14ac:dyDescent="0.2">
      <c r="A4" s="25" t="s">
        <v>431</v>
      </c>
      <c r="B4" s="27" t="s">
        <v>428</v>
      </c>
    </row>
    <row r="5" spans="1:2" x14ac:dyDescent="0.2">
      <c r="A5" s="23" t="s">
        <v>432</v>
      </c>
      <c r="B5" s="28">
        <v>17</v>
      </c>
    </row>
    <row r="6" spans="1:2" x14ac:dyDescent="0.2">
      <c r="A6" s="30" t="s">
        <v>433</v>
      </c>
      <c r="B6" s="31">
        <v>13</v>
      </c>
    </row>
    <row r="7" spans="1:2" x14ac:dyDescent="0.2">
      <c r="A7" s="30" t="s">
        <v>434</v>
      </c>
      <c r="B7" s="31">
        <v>15</v>
      </c>
    </row>
    <row r="8" spans="1:2" x14ac:dyDescent="0.2">
      <c r="A8" s="30" t="s">
        <v>435</v>
      </c>
      <c r="B8" s="31">
        <v>4</v>
      </c>
    </row>
    <row r="9" spans="1:2" x14ac:dyDescent="0.2">
      <c r="A9" s="30" t="s">
        <v>436</v>
      </c>
      <c r="B9" s="31">
        <v>5</v>
      </c>
    </row>
    <row r="10" spans="1:2" x14ac:dyDescent="0.2">
      <c r="A10" s="30" t="s">
        <v>437</v>
      </c>
      <c r="B10" s="31">
        <v>5</v>
      </c>
    </row>
    <row r="11" spans="1:2" x14ac:dyDescent="0.2">
      <c r="A11" s="30" t="s">
        <v>438</v>
      </c>
      <c r="B11" s="31">
        <v>5</v>
      </c>
    </row>
    <row r="12" spans="1:2" x14ac:dyDescent="0.2">
      <c r="A12" s="30" t="s">
        <v>439</v>
      </c>
      <c r="B12" s="31">
        <v>9</v>
      </c>
    </row>
    <row r="13" spans="1:2" x14ac:dyDescent="0.2">
      <c r="A13" s="30" t="s">
        <v>440</v>
      </c>
      <c r="B13" s="31">
        <v>2</v>
      </c>
    </row>
    <row r="14" spans="1:2" x14ac:dyDescent="0.2">
      <c r="A14" s="30" t="s">
        <v>441</v>
      </c>
      <c r="B14" s="31">
        <v>2</v>
      </c>
    </row>
    <row r="15" spans="1:2" x14ac:dyDescent="0.2">
      <c r="A15" s="30" t="s">
        <v>442</v>
      </c>
      <c r="B15" s="31">
        <v>5</v>
      </c>
    </row>
    <row r="16" spans="1:2" x14ac:dyDescent="0.2">
      <c r="A16" s="30" t="s">
        <v>443</v>
      </c>
      <c r="B16" s="31">
        <v>14</v>
      </c>
    </row>
    <row r="17" spans="1:2" x14ac:dyDescent="0.2">
      <c r="A17" s="30" t="s">
        <v>444</v>
      </c>
      <c r="B17" s="31">
        <v>12</v>
      </c>
    </row>
    <row r="18" spans="1:2" x14ac:dyDescent="0.2">
      <c r="A18" s="30" t="s">
        <v>445</v>
      </c>
      <c r="B18" s="31">
        <v>12</v>
      </c>
    </row>
    <row r="19" spans="1:2" x14ac:dyDescent="0.2">
      <c r="A19" s="30" t="s">
        <v>446</v>
      </c>
      <c r="B19" s="31">
        <v>7</v>
      </c>
    </row>
    <row r="20" spans="1:2" x14ac:dyDescent="0.2">
      <c r="A20" s="30" t="s">
        <v>447</v>
      </c>
      <c r="B20" s="31">
        <v>16</v>
      </c>
    </row>
    <row r="21" spans="1:2" x14ac:dyDescent="0.2">
      <c r="A21" s="30" t="s">
        <v>448</v>
      </c>
      <c r="B21" s="31">
        <v>8</v>
      </c>
    </row>
    <row r="22" spans="1:2" x14ac:dyDescent="0.2">
      <c r="A22" s="30" t="s">
        <v>449</v>
      </c>
      <c r="B22" s="31">
        <v>24</v>
      </c>
    </row>
    <row r="23" spans="1:2" x14ac:dyDescent="0.2">
      <c r="A23" s="30" t="s">
        <v>450</v>
      </c>
      <c r="B23" s="31">
        <v>6</v>
      </c>
    </row>
    <row r="24" spans="1:2" x14ac:dyDescent="0.2">
      <c r="A24" s="30" t="s">
        <v>451</v>
      </c>
      <c r="B24" s="31">
        <v>4</v>
      </c>
    </row>
    <row r="25" spans="1:2" x14ac:dyDescent="0.2">
      <c r="A25" s="30" t="s">
        <v>452</v>
      </c>
      <c r="B25" s="31">
        <v>12</v>
      </c>
    </row>
    <row r="26" spans="1:2" x14ac:dyDescent="0.2">
      <c r="A26" s="26" t="s">
        <v>425</v>
      </c>
      <c r="B26" s="29">
        <v>197</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21"/>
  <sheetViews>
    <sheetView showGridLines="0" tabSelected="1" topLeftCell="A7" workbookViewId="0">
      <selection activeCell="D5" sqref="D5"/>
    </sheetView>
  </sheetViews>
  <sheetFormatPr defaultColWidth="12.7109375" defaultRowHeight="12.75" x14ac:dyDescent="0.2"/>
  <cols>
    <col min="1" max="1" width="6.28515625" style="5" bestFit="1" customWidth="1"/>
    <col min="2" max="2" width="87.42578125" style="2" bestFit="1" customWidth="1"/>
    <col min="3" max="3" width="22.42578125" style="2" bestFit="1" customWidth="1"/>
    <col min="4" max="4" width="12.7109375" style="16"/>
    <col min="5" max="16384" width="12.7109375" style="2"/>
  </cols>
  <sheetData>
    <row r="1" spans="1:4" ht="15.75" x14ac:dyDescent="0.25">
      <c r="A1" s="37" t="s">
        <v>418</v>
      </c>
      <c r="B1" s="37"/>
    </row>
    <row r="2" spans="1:4" ht="15.75" x14ac:dyDescent="0.25">
      <c r="A2" s="38" t="s">
        <v>419</v>
      </c>
      <c r="B2" s="38"/>
    </row>
    <row r="3" spans="1:4" ht="171.75" customHeight="1" x14ac:dyDescent="0.25">
      <c r="A3" s="8"/>
    </row>
    <row r="4" spans="1:4" ht="15" customHeight="1" thickBot="1" x14ac:dyDescent="0.25">
      <c r="A4" s="4" t="s">
        <v>404</v>
      </c>
      <c r="B4" s="3" t="s">
        <v>405</v>
      </c>
      <c r="C4" s="7" t="s">
        <v>415</v>
      </c>
      <c r="D4" s="17" t="s">
        <v>424</v>
      </c>
    </row>
    <row r="5" spans="1:4" ht="20.100000000000001" customHeight="1" thickTop="1" x14ac:dyDescent="0.2">
      <c r="A5" s="9">
        <v>1</v>
      </c>
      <c r="B5" s="10" t="s">
        <v>406</v>
      </c>
      <c r="C5" s="10"/>
      <c r="D5" s="18"/>
    </row>
    <row r="6" spans="1:4" ht="20.100000000000001" customHeight="1" x14ac:dyDescent="0.2">
      <c r="A6" s="11">
        <v>2</v>
      </c>
      <c r="B6" s="12" t="s">
        <v>407</v>
      </c>
      <c r="C6" s="15" t="s">
        <v>423</v>
      </c>
      <c r="D6" s="19"/>
    </row>
    <row r="7" spans="1:4" ht="20.100000000000001" customHeight="1" x14ac:dyDescent="0.2">
      <c r="A7" s="11">
        <v>3</v>
      </c>
      <c r="B7" s="12" t="s">
        <v>408</v>
      </c>
      <c r="C7" s="12"/>
      <c r="D7" s="19"/>
    </row>
    <row r="8" spans="1:4" ht="20.100000000000001" customHeight="1" x14ac:dyDescent="0.2">
      <c r="A8" s="11">
        <v>4</v>
      </c>
      <c r="B8" s="13" t="s">
        <v>416</v>
      </c>
      <c r="C8" s="12"/>
      <c r="D8" s="19"/>
    </row>
    <row r="9" spans="1:4" ht="20.100000000000001" customHeight="1" x14ac:dyDescent="0.2">
      <c r="A9" s="11">
        <v>5</v>
      </c>
      <c r="B9" s="14" t="s">
        <v>410</v>
      </c>
      <c r="C9" s="12"/>
      <c r="D9" s="19"/>
    </row>
    <row r="10" spans="1:4" ht="20.100000000000001" customHeight="1" x14ac:dyDescent="0.2">
      <c r="A10" s="11">
        <v>6</v>
      </c>
      <c r="B10" s="13" t="s">
        <v>409</v>
      </c>
      <c r="C10" s="12"/>
      <c r="D10" s="19"/>
    </row>
    <row r="11" spans="1:4" ht="20.100000000000001" customHeight="1" x14ac:dyDescent="0.2">
      <c r="A11" s="11">
        <v>7</v>
      </c>
      <c r="B11" s="12" t="s">
        <v>411</v>
      </c>
      <c r="C11" s="12" t="s">
        <v>417</v>
      </c>
      <c r="D11" s="19"/>
    </row>
    <row r="12" spans="1:4" ht="20.100000000000001" customHeight="1" x14ac:dyDescent="0.2">
      <c r="A12" s="11">
        <v>8</v>
      </c>
      <c r="B12" s="12" t="s">
        <v>412</v>
      </c>
      <c r="C12" s="12"/>
      <c r="D12" s="19"/>
    </row>
    <row r="13" spans="1:4" ht="20.100000000000001" customHeight="1" x14ac:dyDescent="0.2">
      <c r="A13" s="11">
        <v>9</v>
      </c>
      <c r="B13" s="13" t="s">
        <v>413</v>
      </c>
      <c r="C13" s="12" t="s">
        <v>422</v>
      </c>
      <c r="D13" s="19"/>
    </row>
    <row r="14" spans="1:4" ht="20.100000000000001" customHeight="1" x14ac:dyDescent="0.2">
      <c r="A14" s="11">
        <v>10</v>
      </c>
      <c r="B14" s="12" t="s">
        <v>414</v>
      </c>
      <c r="C14" s="12" t="s">
        <v>417</v>
      </c>
      <c r="D14" s="19"/>
    </row>
    <row r="15" spans="1:4" ht="20.25" customHeight="1" thickBot="1" x14ac:dyDescent="0.25">
      <c r="A15" s="11" t="s">
        <v>420</v>
      </c>
      <c r="B15" s="12" t="s">
        <v>421</v>
      </c>
      <c r="C15" s="12"/>
      <c r="D15" s="20"/>
    </row>
    <row r="16" spans="1:4" ht="13.5" thickTop="1" x14ac:dyDescent="0.2"/>
    <row r="18" spans="2:4" ht="18" x14ac:dyDescent="0.25">
      <c r="B18" s="22"/>
    </row>
    <row r="19" spans="2:4" x14ac:dyDescent="0.2">
      <c r="B19" s="21"/>
    </row>
    <row r="21" spans="2:4" x14ac:dyDescent="0.2">
      <c r="D21" s="21"/>
    </row>
  </sheetData>
  <sheetProtection password="BAC6" sheet="1" objects="1" scenarios="1" selectLockedCells="1"/>
  <mergeCells count="2">
    <mergeCell ref="A1:B1"/>
    <mergeCell ref="A2:B2"/>
  </mergeCells>
  <hyperlinks>
    <hyperlink ref="A1:B1" r:id="rId1" display="Bank Closings List (www.data.gov)"/>
  </hyperlinks>
  <printOptions horizontalCentered="1" gridLines="1"/>
  <pageMargins left="0.75" right="0.75" top="0.75" bottom="0.75" header="0.5" footer="0.5"/>
  <pageSetup scale="90" orientation="landscape" horizontalDpi="300" verticalDpi="300" r:id="rId2"/>
  <headerFooter alignWithMargins="0">
    <oddFooter>&amp;L&amp;F&amp;C &amp;RPAGE  &amp;P</oddFooter>
  </headerFooter>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26"/>
  <sheetViews>
    <sheetView workbookViewId="0">
      <selection activeCell="B21" sqref="B21"/>
    </sheetView>
  </sheetViews>
  <sheetFormatPr defaultRowHeight="12.75" x14ac:dyDescent="0.2"/>
  <cols>
    <col min="1" max="1" width="29.28515625" bestFit="1" customWidth="1"/>
    <col min="2" max="2" width="8.28515625" bestFit="1" customWidth="1"/>
  </cols>
  <sheetData>
    <row r="3" spans="1:2" x14ac:dyDescent="0.2">
      <c r="A3" s="25" t="s">
        <v>453</v>
      </c>
      <c r="B3" s="27"/>
    </row>
    <row r="4" spans="1:2" x14ac:dyDescent="0.2">
      <c r="A4" s="25" t="s">
        <v>431</v>
      </c>
      <c r="B4" s="27" t="s">
        <v>428</v>
      </c>
    </row>
    <row r="5" spans="1:2" x14ac:dyDescent="0.2">
      <c r="A5" s="23" t="s">
        <v>449</v>
      </c>
      <c r="B5" s="33">
        <v>0.12182741116751269</v>
      </c>
    </row>
    <row r="6" spans="1:2" x14ac:dyDescent="0.2">
      <c r="A6" s="30" t="s">
        <v>432</v>
      </c>
      <c r="B6" s="34">
        <v>8.6294416243654817E-2</v>
      </c>
    </row>
    <row r="7" spans="1:2" x14ac:dyDescent="0.2">
      <c r="A7" s="30" t="s">
        <v>447</v>
      </c>
      <c r="B7" s="34">
        <v>8.1218274111675121E-2</v>
      </c>
    </row>
    <row r="8" spans="1:2" x14ac:dyDescent="0.2">
      <c r="A8" s="30" t="s">
        <v>434</v>
      </c>
      <c r="B8" s="34">
        <v>7.6142131979695438E-2</v>
      </c>
    </row>
    <row r="9" spans="1:2" x14ac:dyDescent="0.2">
      <c r="A9" s="30" t="s">
        <v>443</v>
      </c>
      <c r="B9" s="34">
        <v>7.1065989847715741E-2</v>
      </c>
    </row>
    <row r="10" spans="1:2" x14ac:dyDescent="0.2">
      <c r="A10" s="30" t="s">
        <v>433</v>
      </c>
      <c r="B10" s="34">
        <v>6.5989847715736044E-2</v>
      </c>
    </row>
    <row r="11" spans="1:2" x14ac:dyDescent="0.2">
      <c r="A11" s="30" t="s">
        <v>444</v>
      </c>
      <c r="B11" s="34">
        <v>6.0913705583756347E-2</v>
      </c>
    </row>
    <row r="12" spans="1:2" x14ac:dyDescent="0.2">
      <c r="A12" s="30" t="s">
        <v>452</v>
      </c>
      <c r="B12" s="34">
        <v>6.0913705583756347E-2</v>
      </c>
    </row>
    <row r="13" spans="1:2" x14ac:dyDescent="0.2">
      <c r="A13" s="30" t="s">
        <v>445</v>
      </c>
      <c r="B13" s="34">
        <v>6.0913705583756347E-2</v>
      </c>
    </row>
    <row r="14" spans="1:2" x14ac:dyDescent="0.2">
      <c r="A14" s="30" t="s">
        <v>439</v>
      </c>
      <c r="B14" s="34">
        <v>4.5685279187817257E-2</v>
      </c>
    </row>
    <row r="15" spans="1:2" x14ac:dyDescent="0.2">
      <c r="A15" s="30" t="s">
        <v>448</v>
      </c>
      <c r="B15" s="34">
        <v>4.060913705583756E-2</v>
      </c>
    </row>
    <row r="16" spans="1:2" x14ac:dyDescent="0.2">
      <c r="A16" s="30" t="s">
        <v>446</v>
      </c>
      <c r="B16" s="34">
        <v>3.553299492385787E-2</v>
      </c>
    </row>
    <row r="17" spans="1:2" x14ac:dyDescent="0.2">
      <c r="A17" s="30" t="s">
        <v>450</v>
      </c>
      <c r="B17" s="34">
        <v>3.0456852791878174E-2</v>
      </c>
    </row>
    <row r="18" spans="1:2" x14ac:dyDescent="0.2">
      <c r="A18" s="30" t="s">
        <v>436</v>
      </c>
      <c r="B18" s="34">
        <v>2.5380710659898477E-2</v>
      </c>
    </row>
    <row r="19" spans="1:2" x14ac:dyDescent="0.2">
      <c r="A19" s="30" t="s">
        <v>438</v>
      </c>
      <c r="B19" s="34">
        <v>2.5380710659898477E-2</v>
      </c>
    </row>
    <row r="20" spans="1:2" x14ac:dyDescent="0.2">
      <c r="A20" s="30" t="s">
        <v>437</v>
      </c>
      <c r="B20" s="34">
        <v>2.5380710659898477E-2</v>
      </c>
    </row>
    <row r="21" spans="1:2" x14ac:dyDescent="0.2">
      <c r="A21" s="30" t="s">
        <v>442</v>
      </c>
      <c r="B21" s="34">
        <v>2.5380710659898477E-2</v>
      </c>
    </row>
    <row r="22" spans="1:2" x14ac:dyDescent="0.2">
      <c r="A22" s="30" t="s">
        <v>435</v>
      </c>
      <c r="B22" s="34">
        <v>2.030456852791878E-2</v>
      </c>
    </row>
    <row r="23" spans="1:2" x14ac:dyDescent="0.2">
      <c r="A23" s="30" t="s">
        <v>451</v>
      </c>
      <c r="B23" s="34">
        <v>2.030456852791878E-2</v>
      </c>
    </row>
    <row r="24" spans="1:2" x14ac:dyDescent="0.2">
      <c r="A24" s="30" t="s">
        <v>440</v>
      </c>
      <c r="B24" s="34">
        <v>1.015228426395939E-2</v>
      </c>
    </row>
    <row r="25" spans="1:2" x14ac:dyDescent="0.2">
      <c r="A25" s="30" t="s">
        <v>441</v>
      </c>
      <c r="B25" s="34">
        <v>1.015228426395939E-2</v>
      </c>
    </row>
    <row r="26" spans="1:2" x14ac:dyDescent="0.2">
      <c r="A26" s="26" t="s">
        <v>425</v>
      </c>
      <c r="B26" s="35">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6"/>
  <sheetViews>
    <sheetView workbookViewId="0">
      <selection activeCell="A6" sqref="A5:A10"/>
    </sheetView>
  </sheetViews>
  <sheetFormatPr defaultRowHeight="12.75" x14ac:dyDescent="0.2"/>
  <cols>
    <col min="1" max="1" width="22.28515625" bestFit="1" customWidth="1"/>
    <col min="2" max="2" width="8.28515625" customWidth="1"/>
  </cols>
  <sheetData>
    <row r="3" spans="1:2" x14ac:dyDescent="0.2">
      <c r="A3" s="25" t="s">
        <v>427</v>
      </c>
      <c r="B3" s="27"/>
    </row>
    <row r="4" spans="1:2" x14ac:dyDescent="0.2">
      <c r="A4" s="25" t="s">
        <v>454</v>
      </c>
      <c r="B4" s="27" t="s">
        <v>428</v>
      </c>
    </row>
    <row r="5" spans="1:2" x14ac:dyDescent="0.2">
      <c r="A5" s="23" t="s">
        <v>455</v>
      </c>
      <c r="B5" s="33">
        <v>1</v>
      </c>
    </row>
    <row r="6" spans="1:2" x14ac:dyDescent="0.2">
      <c r="A6" s="26" t="s">
        <v>425</v>
      </c>
      <c r="B6" s="35">
        <v>1</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98"/>
  <sheetViews>
    <sheetView workbookViewId="0">
      <selection activeCell="I26" sqref="I26"/>
    </sheetView>
  </sheetViews>
  <sheetFormatPr defaultRowHeight="12.75" x14ac:dyDescent="0.2"/>
  <cols>
    <col min="1" max="1" width="40.140625" bestFit="1" customWidth="1"/>
    <col min="2" max="2" width="13.85546875" customWidth="1"/>
    <col min="3" max="3" width="5.7109375" bestFit="1" customWidth="1"/>
    <col min="4" max="4" width="7.42578125" bestFit="1" customWidth="1"/>
    <col min="5" max="5" width="12.42578125" bestFit="1" customWidth="1"/>
    <col min="6" max="6" width="13.42578125" bestFit="1" customWidth="1"/>
    <col min="7" max="7" width="17.85546875" customWidth="1"/>
    <col min="8" max="8" width="19.5703125" bestFit="1" customWidth="1"/>
  </cols>
  <sheetData>
    <row r="1" spans="1:10" x14ac:dyDescent="0.2">
      <c r="A1" s="6" t="s">
        <v>0</v>
      </c>
      <c r="B1" s="6" t="s">
        <v>1</v>
      </c>
      <c r="C1" s="6" t="s">
        <v>2</v>
      </c>
      <c r="D1" s="6" t="s">
        <v>3</v>
      </c>
      <c r="E1" s="6" t="s">
        <v>4</v>
      </c>
      <c r="F1" s="6" t="s">
        <v>5</v>
      </c>
      <c r="G1" s="36" t="s">
        <v>431</v>
      </c>
      <c r="H1" s="36" t="s">
        <v>454</v>
      </c>
    </row>
    <row r="2" spans="1:10" x14ac:dyDescent="0.2">
      <c r="A2" t="s">
        <v>6</v>
      </c>
      <c r="B2" t="s">
        <v>7</v>
      </c>
      <c r="C2" t="s">
        <v>8</v>
      </c>
      <c r="D2">
        <v>1252</v>
      </c>
      <c r="E2" s="1">
        <v>40193</v>
      </c>
      <c r="F2" s="1">
        <v>40197</v>
      </c>
      <c r="G2" t="str">
        <f>LEFT(B2,1)</f>
        <v>K</v>
      </c>
      <c r="H2" t="str">
        <f>TEXT(E2,"DDD")</f>
        <v>Fri</v>
      </c>
    </row>
    <row r="3" spans="1:10" x14ac:dyDescent="0.2">
      <c r="A3" t="s">
        <v>9</v>
      </c>
      <c r="B3" t="s">
        <v>10</v>
      </c>
      <c r="C3" t="s">
        <v>11</v>
      </c>
      <c r="D3">
        <v>17522</v>
      </c>
      <c r="E3" s="1">
        <v>40193</v>
      </c>
      <c r="F3" s="1">
        <v>40197</v>
      </c>
      <c r="G3" t="str">
        <f t="shared" ref="G3:G66" si="0">LEFT(B3,1)</f>
        <v>S</v>
      </c>
      <c r="H3" t="str">
        <f t="shared" ref="H3:H66" si="1">TEXT(E3,"DDD")</f>
        <v>Fri</v>
      </c>
    </row>
    <row r="4" spans="1:10" x14ac:dyDescent="0.2">
      <c r="A4" t="s">
        <v>12</v>
      </c>
      <c r="B4" t="s">
        <v>13</v>
      </c>
      <c r="C4" t="s">
        <v>14</v>
      </c>
      <c r="D4">
        <v>34705</v>
      </c>
      <c r="E4" s="1">
        <v>40193</v>
      </c>
      <c r="F4" s="1">
        <v>40197</v>
      </c>
      <c r="G4" t="str">
        <f t="shared" si="0"/>
        <v>A</v>
      </c>
      <c r="H4" t="str">
        <f t="shared" si="1"/>
        <v>Fri</v>
      </c>
    </row>
    <row r="5" spans="1:10" x14ac:dyDescent="0.2">
      <c r="A5" t="s">
        <v>15</v>
      </c>
      <c r="B5" t="s">
        <v>16</v>
      </c>
      <c r="C5" t="s">
        <v>17</v>
      </c>
      <c r="D5">
        <v>22977</v>
      </c>
      <c r="E5" s="1">
        <v>40186</v>
      </c>
      <c r="F5" s="1">
        <v>40190</v>
      </c>
      <c r="G5" t="str">
        <f t="shared" si="0"/>
        <v>B</v>
      </c>
      <c r="H5" t="str">
        <f t="shared" si="1"/>
        <v>Fri</v>
      </c>
    </row>
    <row r="6" spans="1:10" x14ac:dyDescent="0.2">
      <c r="A6" t="s">
        <v>18</v>
      </c>
      <c r="B6" t="s">
        <v>19</v>
      </c>
      <c r="C6" t="s">
        <v>20</v>
      </c>
      <c r="D6">
        <v>28536</v>
      </c>
      <c r="E6" s="1">
        <v>40165</v>
      </c>
      <c r="F6" s="1">
        <v>40170</v>
      </c>
      <c r="G6" t="str">
        <f t="shared" si="0"/>
        <v>S</v>
      </c>
      <c r="H6" t="str">
        <f t="shared" si="1"/>
        <v>Fri</v>
      </c>
    </row>
    <row r="7" spans="1:10" x14ac:dyDescent="0.2">
      <c r="A7" t="s">
        <v>21</v>
      </c>
      <c r="B7" t="s">
        <v>22</v>
      </c>
      <c r="C7" t="s">
        <v>20</v>
      </c>
      <c r="D7">
        <v>26348</v>
      </c>
      <c r="E7" s="1">
        <v>40165</v>
      </c>
      <c r="F7" s="1">
        <v>40170</v>
      </c>
      <c r="G7" t="str">
        <f t="shared" si="0"/>
        <v>L</v>
      </c>
      <c r="H7" t="str">
        <f t="shared" si="1"/>
        <v>Fri</v>
      </c>
    </row>
    <row r="8" spans="1:10" x14ac:dyDescent="0.2">
      <c r="A8" t="s">
        <v>23</v>
      </c>
      <c r="B8" t="s">
        <v>24</v>
      </c>
      <c r="C8" t="s">
        <v>14</v>
      </c>
      <c r="D8">
        <v>26820</v>
      </c>
      <c r="E8" s="1">
        <v>40165</v>
      </c>
      <c r="F8" s="1">
        <v>40192</v>
      </c>
      <c r="G8" t="str">
        <f t="shared" si="0"/>
        <v>S</v>
      </c>
      <c r="H8" t="str">
        <f t="shared" si="1"/>
        <v>Fri</v>
      </c>
      <c r="J8" t="s">
        <v>456</v>
      </c>
    </row>
    <row r="9" spans="1:10" x14ac:dyDescent="0.2">
      <c r="A9" t="s">
        <v>25</v>
      </c>
      <c r="B9" t="s">
        <v>26</v>
      </c>
      <c r="C9" t="s">
        <v>27</v>
      </c>
      <c r="D9">
        <v>32276</v>
      </c>
      <c r="E9" s="1">
        <v>40165</v>
      </c>
      <c r="F9" s="1">
        <v>40170</v>
      </c>
      <c r="G9" t="str">
        <f t="shared" si="0"/>
        <v>I</v>
      </c>
      <c r="H9" t="str">
        <f t="shared" si="1"/>
        <v>Fri</v>
      </c>
    </row>
    <row r="10" spans="1:10" x14ac:dyDescent="0.2">
      <c r="A10" t="s">
        <v>28</v>
      </c>
      <c r="B10" t="s">
        <v>29</v>
      </c>
      <c r="C10" t="s">
        <v>30</v>
      </c>
      <c r="D10">
        <v>1006</v>
      </c>
      <c r="E10" s="1">
        <v>40165</v>
      </c>
      <c r="F10" s="1">
        <v>40186</v>
      </c>
      <c r="G10" t="str">
        <f t="shared" si="0"/>
        <v>N</v>
      </c>
      <c r="H10" t="str">
        <f t="shared" si="1"/>
        <v>Fri</v>
      </c>
    </row>
    <row r="11" spans="1:10" x14ac:dyDescent="0.2">
      <c r="A11" t="s">
        <v>31</v>
      </c>
      <c r="B11" t="s">
        <v>32</v>
      </c>
      <c r="C11" t="s">
        <v>33</v>
      </c>
      <c r="D11">
        <v>32167</v>
      </c>
      <c r="E11" s="1">
        <v>40165</v>
      </c>
      <c r="F11" s="1">
        <v>40170</v>
      </c>
      <c r="G11" t="str">
        <f t="shared" si="0"/>
        <v>P</v>
      </c>
      <c r="H11" t="str">
        <f t="shared" si="1"/>
        <v>Fri</v>
      </c>
    </row>
    <row r="12" spans="1:10" x14ac:dyDescent="0.2">
      <c r="A12" t="s">
        <v>34</v>
      </c>
      <c r="B12" t="s">
        <v>35</v>
      </c>
      <c r="C12" t="s">
        <v>36</v>
      </c>
      <c r="D12">
        <v>58315</v>
      </c>
      <c r="E12" s="1">
        <v>40165</v>
      </c>
      <c r="F12" s="1">
        <v>40169</v>
      </c>
      <c r="G12" t="str">
        <f t="shared" si="0"/>
        <v>A</v>
      </c>
      <c r="H12" t="str">
        <f t="shared" si="1"/>
        <v>Fri</v>
      </c>
    </row>
    <row r="13" spans="1:10" x14ac:dyDescent="0.2">
      <c r="A13" t="s">
        <v>37</v>
      </c>
      <c r="B13" t="s">
        <v>38</v>
      </c>
      <c r="C13" t="s">
        <v>39</v>
      </c>
      <c r="D13">
        <v>4731</v>
      </c>
      <c r="E13" s="1">
        <v>40158</v>
      </c>
      <c r="F13" s="1">
        <v>40162</v>
      </c>
      <c r="G13" t="str">
        <f t="shared" si="0"/>
        <v>O</v>
      </c>
      <c r="H13" t="str">
        <f t="shared" si="1"/>
        <v>Fri</v>
      </c>
    </row>
    <row r="14" spans="1:10" x14ac:dyDescent="0.2">
      <c r="A14" t="s">
        <v>40</v>
      </c>
      <c r="B14" t="s">
        <v>41</v>
      </c>
      <c r="C14" t="s">
        <v>42</v>
      </c>
      <c r="D14">
        <v>58399</v>
      </c>
      <c r="E14" s="1">
        <v>40158</v>
      </c>
      <c r="F14" s="1">
        <v>40162</v>
      </c>
      <c r="G14" t="str">
        <f t="shared" si="0"/>
        <v>M</v>
      </c>
      <c r="H14" t="str">
        <f t="shared" si="1"/>
        <v>Fri</v>
      </c>
    </row>
    <row r="15" spans="1:10" x14ac:dyDescent="0.2">
      <c r="A15" t="s">
        <v>43</v>
      </c>
      <c r="B15" t="s">
        <v>44</v>
      </c>
      <c r="C15" t="s">
        <v>33</v>
      </c>
      <c r="D15">
        <v>22846</v>
      </c>
      <c r="E15" s="1">
        <v>40158</v>
      </c>
      <c r="F15" s="1">
        <v>40162</v>
      </c>
      <c r="G15" t="str">
        <f t="shared" si="0"/>
        <v>M</v>
      </c>
      <c r="H15" t="str">
        <f t="shared" si="1"/>
        <v>Fri</v>
      </c>
    </row>
    <row r="16" spans="1:10" x14ac:dyDescent="0.2">
      <c r="A16" t="s">
        <v>45</v>
      </c>
      <c r="B16" t="s">
        <v>46</v>
      </c>
      <c r="C16" t="s">
        <v>47</v>
      </c>
      <c r="D16">
        <v>32583</v>
      </c>
      <c r="E16" s="1">
        <v>40151</v>
      </c>
      <c r="F16" s="1">
        <v>40162</v>
      </c>
      <c r="G16" t="str">
        <f t="shared" si="0"/>
        <v>R</v>
      </c>
      <c r="H16" t="str">
        <f t="shared" si="1"/>
        <v>Fri</v>
      </c>
    </row>
    <row r="17" spans="1:8" x14ac:dyDescent="0.2">
      <c r="A17" t="s">
        <v>48</v>
      </c>
      <c r="B17" t="s">
        <v>49</v>
      </c>
      <c r="C17" t="s">
        <v>14</v>
      </c>
      <c r="D17">
        <v>10440</v>
      </c>
      <c r="E17" s="1">
        <v>40151</v>
      </c>
      <c r="F17" s="1">
        <v>40155</v>
      </c>
      <c r="G17" t="str">
        <f t="shared" si="0"/>
        <v>A</v>
      </c>
      <c r="H17" t="str">
        <f t="shared" si="1"/>
        <v>Fri</v>
      </c>
    </row>
    <row r="18" spans="1:8" x14ac:dyDescent="0.2">
      <c r="A18" t="s">
        <v>50</v>
      </c>
      <c r="B18" t="s">
        <v>51</v>
      </c>
      <c r="C18" t="s">
        <v>52</v>
      </c>
      <c r="D18">
        <v>29776</v>
      </c>
      <c r="E18" s="1">
        <v>40151</v>
      </c>
      <c r="F18" s="1">
        <v>40155</v>
      </c>
      <c r="G18" t="str">
        <f t="shared" si="0"/>
        <v>C</v>
      </c>
      <c r="H18" t="str">
        <f t="shared" si="1"/>
        <v>Fri</v>
      </c>
    </row>
    <row r="19" spans="1:8" x14ac:dyDescent="0.2">
      <c r="A19" t="s">
        <v>53</v>
      </c>
      <c r="B19" t="s">
        <v>54</v>
      </c>
      <c r="C19" t="s">
        <v>36</v>
      </c>
      <c r="D19">
        <v>12080</v>
      </c>
      <c r="E19" s="1">
        <v>40151</v>
      </c>
      <c r="F19" s="1">
        <v>40162</v>
      </c>
      <c r="G19" t="str">
        <f t="shared" si="0"/>
        <v>R</v>
      </c>
      <c r="H19" t="str">
        <f t="shared" si="1"/>
        <v>Fri</v>
      </c>
    </row>
    <row r="20" spans="1:8" x14ac:dyDescent="0.2">
      <c r="A20" t="s">
        <v>55</v>
      </c>
      <c r="B20" t="s">
        <v>56</v>
      </c>
      <c r="C20" t="s">
        <v>36</v>
      </c>
      <c r="D20">
        <v>26290</v>
      </c>
      <c r="E20" s="1">
        <v>40151</v>
      </c>
      <c r="F20" s="1">
        <v>40155</v>
      </c>
      <c r="G20" t="str">
        <f t="shared" si="0"/>
        <v>N</v>
      </c>
      <c r="H20" t="str">
        <f t="shared" si="1"/>
        <v>Fri</v>
      </c>
    </row>
    <row r="21" spans="1:8" x14ac:dyDescent="0.2">
      <c r="A21" t="s">
        <v>57</v>
      </c>
      <c r="B21" t="s">
        <v>35</v>
      </c>
      <c r="C21" t="s">
        <v>36</v>
      </c>
      <c r="D21">
        <v>34663</v>
      </c>
      <c r="E21" s="1">
        <v>40151</v>
      </c>
      <c r="F21" s="1">
        <v>40162</v>
      </c>
      <c r="G21" t="str">
        <f t="shared" si="0"/>
        <v>A</v>
      </c>
      <c r="H21" t="str">
        <f t="shared" si="1"/>
        <v>Fri</v>
      </c>
    </row>
    <row r="22" spans="1:8" x14ac:dyDescent="0.2">
      <c r="A22" t="s">
        <v>58</v>
      </c>
      <c r="B22" t="s">
        <v>59</v>
      </c>
      <c r="C22" t="s">
        <v>33</v>
      </c>
      <c r="D22">
        <v>58016</v>
      </c>
      <c r="E22" s="1">
        <v>40137</v>
      </c>
      <c r="F22" s="1">
        <v>40162</v>
      </c>
      <c r="G22" t="str">
        <f t="shared" si="0"/>
        <v>F</v>
      </c>
      <c r="H22" t="str">
        <f t="shared" si="1"/>
        <v>Fri</v>
      </c>
    </row>
    <row r="23" spans="1:8" x14ac:dyDescent="0.2">
      <c r="A23" t="s">
        <v>60</v>
      </c>
      <c r="B23" t="s">
        <v>61</v>
      </c>
      <c r="C23" t="s">
        <v>20</v>
      </c>
      <c r="D23">
        <v>57914</v>
      </c>
      <c r="E23" s="1">
        <v>40130</v>
      </c>
      <c r="F23" s="1">
        <v>40135</v>
      </c>
      <c r="G23" t="str">
        <f t="shared" si="0"/>
        <v>S</v>
      </c>
      <c r="H23" t="str">
        <f t="shared" si="1"/>
        <v>Fri</v>
      </c>
    </row>
    <row r="24" spans="1:8" x14ac:dyDescent="0.2">
      <c r="A24" t="s">
        <v>62</v>
      </c>
      <c r="B24" t="s">
        <v>63</v>
      </c>
      <c r="C24" t="s">
        <v>33</v>
      </c>
      <c r="D24">
        <v>22427</v>
      </c>
      <c r="E24" s="1">
        <v>40130</v>
      </c>
      <c r="F24" s="1">
        <v>40162</v>
      </c>
      <c r="G24" t="str">
        <f t="shared" si="0"/>
        <v>N</v>
      </c>
      <c r="H24" t="str">
        <f t="shared" si="1"/>
        <v>Fri</v>
      </c>
    </row>
    <row r="25" spans="1:8" x14ac:dyDescent="0.2">
      <c r="A25" t="s">
        <v>64</v>
      </c>
      <c r="B25" t="s">
        <v>65</v>
      </c>
      <c r="C25" t="s">
        <v>33</v>
      </c>
      <c r="D25">
        <v>32267</v>
      </c>
      <c r="E25" s="1">
        <v>40130</v>
      </c>
      <c r="F25" s="1">
        <v>40162</v>
      </c>
      <c r="G25" t="str">
        <f t="shared" si="0"/>
        <v>S</v>
      </c>
      <c r="H25" t="str">
        <f t="shared" si="1"/>
        <v>Fri</v>
      </c>
    </row>
    <row r="26" spans="1:8" x14ac:dyDescent="0.2">
      <c r="A26" t="s">
        <v>66</v>
      </c>
      <c r="B26" t="s">
        <v>67</v>
      </c>
      <c r="C26" t="s">
        <v>20</v>
      </c>
      <c r="D26">
        <v>32469</v>
      </c>
      <c r="E26" s="1">
        <v>40123</v>
      </c>
      <c r="F26" s="1">
        <v>40126</v>
      </c>
      <c r="G26" t="str">
        <f t="shared" si="0"/>
        <v>S</v>
      </c>
      <c r="H26" t="str">
        <f t="shared" si="1"/>
        <v>Fri</v>
      </c>
    </row>
    <row r="27" spans="1:8" x14ac:dyDescent="0.2">
      <c r="A27" t="s">
        <v>68</v>
      </c>
      <c r="B27" t="s">
        <v>69</v>
      </c>
      <c r="C27" t="s">
        <v>70</v>
      </c>
      <c r="D27">
        <v>19450</v>
      </c>
      <c r="E27" s="1">
        <v>40123</v>
      </c>
      <c r="F27" s="1">
        <v>40126</v>
      </c>
      <c r="G27" t="str">
        <f t="shared" si="0"/>
        <v>S</v>
      </c>
      <c r="H27" t="str">
        <f t="shared" si="1"/>
        <v>Fri</v>
      </c>
    </row>
    <row r="28" spans="1:8" x14ac:dyDescent="0.2">
      <c r="A28" t="s">
        <v>71</v>
      </c>
      <c r="B28" t="s">
        <v>72</v>
      </c>
      <c r="C28" t="s">
        <v>11</v>
      </c>
      <c r="D28">
        <v>35074</v>
      </c>
      <c r="E28" s="1">
        <v>40123</v>
      </c>
      <c r="F28" s="1">
        <v>40126</v>
      </c>
      <c r="G28" t="str">
        <f t="shared" si="0"/>
        <v>O</v>
      </c>
      <c r="H28" t="str">
        <f t="shared" si="1"/>
        <v>Fri</v>
      </c>
    </row>
    <row r="29" spans="1:8" x14ac:dyDescent="0.2">
      <c r="A29" t="s">
        <v>73</v>
      </c>
      <c r="B29" t="s">
        <v>74</v>
      </c>
      <c r="C29" t="s">
        <v>30</v>
      </c>
      <c r="D29">
        <v>30329</v>
      </c>
      <c r="E29" s="1">
        <v>40123</v>
      </c>
      <c r="F29" s="1">
        <v>40162</v>
      </c>
      <c r="G29" t="str">
        <f t="shared" si="0"/>
        <v>D</v>
      </c>
      <c r="H29" t="str">
        <f t="shared" si="1"/>
        <v>Fri</v>
      </c>
    </row>
    <row r="30" spans="1:8" x14ac:dyDescent="0.2">
      <c r="A30" t="s">
        <v>75</v>
      </c>
      <c r="B30" t="s">
        <v>76</v>
      </c>
      <c r="C30" t="s">
        <v>36</v>
      </c>
      <c r="D30">
        <v>22286</v>
      </c>
      <c r="E30" s="1">
        <v>40123</v>
      </c>
      <c r="F30" s="1">
        <v>40162</v>
      </c>
      <c r="G30" t="str">
        <f t="shared" si="0"/>
        <v>S</v>
      </c>
      <c r="H30" t="str">
        <f t="shared" si="1"/>
        <v>Fri</v>
      </c>
    </row>
    <row r="31" spans="1:8" x14ac:dyDescent="0.2">
      <c r="A31" t="s">
        <v>77</v>
      </c>
      <c r="B31" t="s">
        <v>78</v>
      </c>
      <c r="C31" t="s">
        <v>79</v>
      </c>
      <c r="D31">
        <v>18776</v>
      </c>
      <c r="E31" s="1">
        <v>40116</v>
      </c>
      <c r="F31" s="1">
        <v>40120</v>
      </c>
      <c r="G31" t="str">
        <f t="shared" si="0"/>
        <v>H</v>
      </c>
      <c r="H31" t="str">
        <f t="shared" si="1"/>
        <v>Fri</v>
      </c>
    </row>
    <row r="32" spans="1:8" x14ac:dyDescent="0.2">
      <c r="A32" t="s">
        <v>80</v>
      </c>
      <c r="B32" t="s">
        <v>81</v>
      </c>
      <c r="C32" t="s">
        <v>79</v>
      </c>
      <c r="D32">
        <v>33782</v>
      </c>
      <c r="E32" s="1">
        <v>40116</v>
      </c>
      <c r="F32" s="1">
        <v>40120</v>
      </c>
      <c r="G32" t="str">
        <f t="shared" si="0"/>
        <v>M</v>
      </c>
      <c r="H32" t="str">
        <f t="shared" si="1"/>
        <v>Fri</v>
      </c>
    </row>
    <row r="33" spans="1:8" x14ac:dyDescent="0.2">
      <c r="A33" t="s">
        <v>82</v>
      </c>
      <c r="B33" t="s">
        <v>83</v>
      </c>
      <c r="C33" t="s">
        <v>79</v>
      </c>
      <c r="D33">
        <v>25222</v>
      </c>
      <c r="E33" s="1">
        <v>40116</v>
      </c>
      <c r="F33" s="1">
        <v>40120</v>
      </c>
      <c r="G33" t="str">
        <f t="shared" si="0"/>
        <v>T</v>
      </c>
      <c r="H33" t="str">
        <f t="shared" si="1"/>
        <v>Fri</v>
      </c>
    </row>
    <row r="34" spans="1:8" x14ac:dyDescent="0.2">
      <c r="A34" t="s">
        <v>84</v>
      </c>
      <c r="B34" t="s">
        <v>85</v>
      </c>
      <c r="C34" t="s">
        <v>14</v>
      </c>
      <c r="D34">
        <v>11677</v>
      </c>
      <c r="E34" s="1">
        <v>40116</v>
      </c>
      <c r="F34" s="1">
        <v>40120</v>
      </c>
      <c r="G34" t="str">
        <f t="shared" si="0"/>
        <v>C</v>
      </c>
      <c r="H34" t="str">
        <f t="shared" si="1"/>
        <v>Fri</v>
      </c>
    </row>
    <row r="35" spans="1:8" x14ac:dyDescent="0.2">
      <c r="A35" t="s">
        <v>86</v>
      </c>
      <c r="B35" t="s">
        <v>67</v>
      </c>
      <c r="C35" t="s">
        <v>20</v>
      </c>
      <c r="D35">
        <v>30006</v>
      </c>
      <c r="E35" s="1">
        <v>40116</v>
      </c>
      <c r="F35" s="1">
        <v>40120</v>
      </c>
      <c r="G35" t="str">
        <f t="shared" si="0"/>
        <v>S</v>
      </c>
      <c r="H35" t="str">
        <f t="shared" si="1"/>
        <v>Fri</v>
      </c>
    </row>
    <row r="36" spans="1:8" x14ac:dyDescent="0.2">
      <c r="A36" t="s">
        <v>87</v>
      </c>
      <c r="B36" t="s">
        <v>88</v>
      </c>
      <c r="C36" t="s">
        <v>20</v>
      </c>
      <c r="D36">
        <v>34659</v>
      </c>
      <c r="E36" s="1">
        <v>40116</v>
      </c>
      <c r="F36" s="1">
        <v>40120</v>
      </c>
      <c r="G36" t="str">
        <f t="shared" si="0"/>
        <v>L</v>
      </c>
      <c r="H36" t="str">
        <f t="shared" si="1"/>
        <v>Fri</v>
      </c>
    </row>
    <row r="37" spans="1:8" x14ac:dyDescent="0.2">
      <c r="A37" t="s">
        <v>89</v>
      </c>
      <c r="B37" t="s">
        <v>90</v>
      </c>
      <c r="C37" t="s">
        <v>20</v>
      </c>
      <c r="D37">
        <v>23594</v>
      </c>
      <c r="E37" s="1">
        <v>40116</v>
      </c>
      <c r="F37" s="1">
        <v>40120</v>
      </c>
      <c r="G37" t="str">
        <f t="shared" si="0"/>
        <v>S</v>
      </c>
      <c r="H37" t="str">
        <f t="shared" si="1"/>
        <v>Fri</v>
      </c>
    </row>
    <row r="38" spans="1:8" x14ac:dyDescent="0.2">
      <c r="A38" t="s">
        <v>91</v>
      </c>
      <c r="B38" t="s">
        <v>92</v>
      </c>
      <c r="C38" t="s">
        <v>14</v>
      </c>
      <c r="D38">
        <v>35291</v>
      </c>
      <c r="E38" s="1">
        <v>40116</v>
      </c>
      <c r="F38" s="1">
        <v>40120</v>
      </c>
      <c r="G38" t="str">
        <f t="shared" si="0"/>
        <v>L</v>
      </c>
      <c r="H38" t="str">
        <f t="shared" si="1"/>
        <v>Fri</v>
      </c>
    </row>
    <row r="39" spans="1:8" x14ac:dyDescent="0.2">
      <c r="A39" t="s">
        <v>93</v>
      </c>
      <c r="B39" t="s">
        <v>94</v>
      </c>
      <c r="C39" t="s">
        <v>42</v>
      </c>
      <c r="D39">
        <v>32218</v>
      </c>
      <c r="E39" s="1">
        <v>40116</v>
      </c>
      <c r="F39" s="1">
        <v>40120</v>
      </c>
      <c r="G39" t="str">
        <f t="shared" si="0"/>
        <v>P</v>
      </c>
      <c r="H39" t="str">
        <f t="shared" si="1"/>
        <v>Fri</v>
      </c>
    </row>
    <row r="40" spans="1:8" x14ac:dyDescent="0.2">
      <c r="A40" t="s">
        <v>95</v>
      </c>
      <c r="B40" t="s">
        <v>96</v>
      </c>
      <c r="C40" t="s">
        <v>14</v>
      </c>
      <c r="D40">
        <v>35038</v>
      </c>
      <c r="E40" s="1">
        <v>40109</v>
      </c>
      <c r="F40" s="1">
        <v>40120</v>
      </c>
      <c r="G40" t="str">
        <f t="shared" si="0"/>
        <v>W</v>
      </c>
      <c r="H40" t="str">
        <f t="shared" si="1"/>
        <v>Fri</v>
      </c>
    </row>
    <row r="41" spans="1:8" x14ac:dyDescent="0.2">
      <c r="A41" t="s">
        <v>97</v>
      </c>
      <c r="B41" t="s">
        <v>98</v>
      </c>
      <c r="C41" t="s">
        <v>11</v>
      </c>
      <c r="D41">
        <v>57525</v>
      </c>
      <c r="E41" s="1">
        <v>40109</v>
      </c>
      <c r="F41" s="1">
        <v>40120</v>
      </c>
      <c r="G41" t="str">
        <f t="shared" si="0"/>
        <v>O</v>
      </c>
      <c r="H41" t="str">
        <f t="shared" si="1"/>
        <v>Fri</v>
      </c>
    </row>
    <row r="42" spans="1:8" x14ac:dyDescent="0.2">
      <c r="A42" t="s">
        <v>99</v>
      </c>
      <c r="B42" t="s">
        <v>100</v>
      </c>
      <c r="C42" t="s">
        <v>101</v>
      </c>
      <c r="D42">
        <v>18321</v>
      </c>
      <c r="E42" s="1">
        <v>40109</v>
      </c>
      <c r="F42" s="1">
        <v>40120</v>
      </c>
      <c r="G42" t="str">
        <f t="shared" si="0"/>
        <v>R</v>
      </c>
      <c r="H42" t="str">
        <f t="shared" si="1"/>
        <v>Fri</v>
      </c>
    </row>
    <row r="43" spans="1:8" x14ac:dyDescent="0.2">
      <c r="A43" t="s">
        <v>102</v>
      </c>
      <c r="B43" t="s">
        <v>103</v>
      </c>
      <c r="C43" t="s">
        <v>33</v>
      </c>
      <c r="D43">
        <v>35044</v>
      </c>
      <c r="E43" s="1">
        <v>40109</v>
      </c>
      <c r="F43" s="1">
        <v>40115</v>
      </c>
      <c r="G43" t="str">
        <f t="shared" si="0"/>
        <v>B</v>
      </c>
      <c r="H43" t="str">
        <f t="shared" si="1"/>
        <v>Fri</v>
      </c>
    </row>
    <row r="44" spans="1:8" x14ac:dyDescent="0.2">
      <c r="A44" t="s">
        <v>104</v>
      </c>
      <c r="B44" t="s">
        <v>63</v>
      </c>
      <c r="C44" t="s">
        <v>33</v>
      </c>
      <c r="D44">
        <v>58336</v>
      </c>
      <c r="E44" s="1">
        <v>40109</v>
      </c>
      <c r="F44" s="1">
        <v>40114</v>
      </c>
      <c r="G44" t="str">
        <f t="shared" si="0"/>
        <v>N</v>
      </c>
      <c r="H44" t="str">
        <f t="shared" si="1"/>
        <v>Fri</v>
      </c>
    </row>
    <row r="45" spans="1:8" x14ac:dyDescent="0.2">
      <c r="A45" t="s">
        <v>105</v>
      </c>
      <c r="B45" t="s">
        <v>106</v>
      </c>
      <c r="C45" t="s">
        <v>36</v>
      </c>
      <c r="D45">
        <v>57794</v>
      </c>
      <c r="E45" s="1">
        <v>40109</v>
      </c>
      <c r="F45" s="1">
        <v>40114</v>
      </c>
      <c r="G45" t="str">
        <f t="shared" si="0"/>
        <v>L</v>
      </c>
      <c r="H45" t="str">
        <f t="shared" si="1"/>
        <v>Fri</v>
      </c>
    </row>
    <row r="46" spans="1:8" x14ac:dyDescent="0.2">
      <c r="A46" t="s">
        <v>107</v>
      </c>
      <c r="B46" t="s">
        <v>63</v>
      </c>
      <c r="C46" t="s">
        <v>33</v>
      </c>
      <c r="D46">
        <v>57959</v>
      </c>
      <c r="E46" s="1">
        <v>40109</v>
      </c>
      <c r="F46" s="1">
        <v>40114</v>
      </c>
      <c r="G46" t="str">
        <f t="shared" si="0"/>
        <v>N</v>
      </c>
      <c r="H46" t="str">
        <f t="shared" si="1"/>
        <v>Fri</v>
      </c>
    </row>
    <row r="47" spans="1:8" x14ac:dyDescent="0.2">
      <c r="A47" t="s">
        <v>108</v>
      </c>
      <c r="B47" t="s">
        <v>109</v>
      </c>
      <c r="C47" t="s">
        <v>20</v>
      </c>
      <c r="D47">
        <v>23266</v>
      </c>
      <c r="E47" s="1">
        <v>40102</v>
      </c>
      <c r="F47" s="1">
        <v>40107</v>
      </c>
      <c r="G47" t="str">
        <f t="shared" si="0"/>
        <v>B</v>
      </c>
      <c r="H47" t="str">
        <f t="shared" si="1"/>
        <v>Fri</v>
      </c>
    </row>
    <row r="48" spans="1:8" x14ac:dyDescent="0.2">
      <c r="A48" t="s">
        <v>110</v>
      </c>
      <c r="B48" t="s">
        <v>111</v>
      </c>
      <c r="C48" t="s">
        <v>112</v>
      </c>
      <c r="D48">
        <v>57263</v>
      </c>
      <c r="E48" s="1">
        <v>40088</v>
      </c>
      <c r="F48" s="1">
        <v>40106</v>
      </c>
      <c r="G48" t="str">
        <f t="shared" si="0"/>
        <v>P</v>
      </c>
      <c r="H48" t="str">
        <f t="shared" si="1"/>
        <v>Fri</v>
      </c>
    </row>
    <row r="49" spans="1:8" x14ac:dyDescent="0.2">
      <c r="A49" t="s">
        <v>113</v>
      </c>
      <c r="B49" t="s">
        <v>114</v>
      </c>
      <c r="C49" t="s">
        <v>11</v>
      </c>
      <c r="D49">
        <v>11416</v>
      </c>
      <c r="E49" s="1">
        <v>40088</v>
      </c>
      <c r="F49" s="1">
        <v>40106</v>
      </c>
      <c r="G49" t="str">
        <f t="shared" si="0"/>
        <v>S</v>
      </c>
      <c r="H49" t="str">
        <f t="shared" si="1"/>
        <v>Fri</v>
      </c>
    </row>
    <row r="50" spans="1:8" x14ac:dyDescent="0.2">
      <c r="A50" t="s">
        <v>115</v>
      </c>
      <c r="B50" t="s">
        <v>116</v>
      </c>
      <c r="C50" t="s">
        <v>30</v>
      </c>
      <c r="D50">
        <v>34824</v>
      </c>
      <c r="E50" s="1">
        <v>40088</v>
      </c>
      <c r="F50" s="1">
        <v>40106</v>
      </c>
      <c r="G50" t="str">
        <f t="shared" si="0"/>
        <v>W</v>
      </c>
      <c r="H50" t="str">
        <f t="shared" si="1"/>
        <v>Fri</v>
      </c>
    </row>
    <row r="51" spans="1:8" x14ac:dyDescent="0.2">
      <c r="A51" t="s">
        <v>117</v>
      </c>
      <c r="B51" t="s">
        <v>35</v>
      </c>
      <c r="C51" t="s">
        <v>36</v>
      </c>
      <c r="D51">
        <v>57151</v>
      </c>
      <c r="E51" s="1">
        <v>40081</v>
      </c>
      <c r="F51" s="1">
        <v>40099</v>
      </c>
      <c r="G51" t="str">
        <f t="shared" si="0"/>
        <v>A</v>
      </c>
      <c r="H51" t="str">
        <f t="shared" si="1"/>
        <v>Fri</v>
      </c>
    </row>
    <row r="52" spans="1:8" x14ac:dyDescent="0.2">
      <c r="A52" t="s">
        <v>118</v>
      </c>
      <c r="B52" t="s">
        <v>119</v>
      </c>
      <c r="C52" t="s">
        <v>120</v>
      </c>
      <c r="D52">
        <v>57068</v>
      </c>
      <c r="E52" s="1">
        <v>40074</v>
      </c>
      <c r="F52" s="1">
        <v>40078</v>
      </c>
      <c r="G52" t="str">
        <f t="shared" si="0"/>
        <v>L</v>
      </c>
      <c r="H52" t="str">
        <f t="shared" si="1"/>
        <v>Fri</v>
      </c>
    </row>
    <row r="53" spans="1:8" x14ac:dyDescent="0.2">
      <c r="A53" t="s">
        <v>121</v>
      </c>
      <c r="B53" t="s">
        <v>122</v>
      </c>
      <c r="C53" t="s">
        <v>123</v>
      </c>
      <c r="D53">
        <v>10100</v>
      </c>
      <c r="E53" s="1">
        <v>40074</v>
      </c>
      <c r="F53" s="1">
        <v>40078</v>
      </c>
      <c r="G53" t="str">
        <f t="shared" si="0"/>
        <v>C</v>
      </c>
      <c r="H53" t="str">
        <f t="shared" si="1"/>
        <v>Fri</v>
      </c>
    </row>
    <row r="54" spans="1:8" x14ac:dyDescent="0.2">
      <c r="A54" t="s">
        <v>124</v>
      </c>
      <c r="B54" t="s">
        <v>125</v>
      </c>
      <c r="C54" t="s">
        <v>17</v>
      </c>
      <c r="D54">
        <v>22868</v>
      </c>
      <c r="E54" s="1">
        <v>40067</v>
      </c>
      <c r="F54" s="1">
        <v>40140</v>
      </c>
      <c r="G54" t="str">
        <f t="shared" si="0"/>
        <v>L</v>
      </c>
      <c r="H54" t="str">
        <f t="shared" si="1"/>
        <v>Fri</v>
      </c>
    </row>
    <row r="55" spans="1:8" x14ac:dyDescent="0.2">
      <c r="A55" t="s">
        <v>126</v>
      </c>
      <c r="B55" t="s">
        <v>127</v>
      </c>
      <c r="C55" t="s">
        <v>11</v>
      </c>
      <c r="D55">
        <v>57736</v>
      </c>
      <c r="E55" s="1">
        <v>40067</v>
      </c>
      <c r="F55" s="1">
        <v>40140</v>
      </c>
      <c r="G55" t="str">
        <f t="shared" si="0"/>
        <v>W</v>
      </c>
      <c r="H55" t="str">
        <f t="shared" si="1"/>
        <v>Fri</v>
      </c>
    </row>
    <row r="56" spans="1:8" x14ac:dyDescent="0.2">
      <c r="A56" t="s">
        <v>128</v>
      </c>
      <c r="B56" t="s">
        <v>85</v>
      </c>
      <c r="C56" t="s">
        <v>14</v>
      </c>
      <c r="D56">
        <v>13693</v>
      </c>
      <c r="E56" s="1">
        <v>40067</v>
      </c>
      <c r="F56" s="1">
        <v>40140</v>
      </c>
      <c r="G56" t="str">
        <f t="shared" si="0"/>
        <v>C</v>
      </c>
      <c r="H56" t="str">
        <f t="shared" si="1"/>
        <v>Fri</v>
      </c>
    </row>
    <row r="57" spans="1:8" x14ac:dyDescent="0.2">
      <c r="A57" t="s">
        <v>129</v>
      </c>
      <c r="B57" t="s">
        <v>130</v>
      </c>
      <c r="C57" t="s">
        <v>42</v>
      </c>
      <c r="D57">
        <v>34875</v>
      </c>
      <c r="E57" s="1">
        <v>40060</v>
      </c>
      <c r="F57" s="1">
        <v>40140</v>
      </c>
      <c r="G57" t="str">
        <f t="shared" si="0"/>
        <v>F</v>
      </c>
      <c r="H57" t="str">
        <f t="shared" si="1"/>
        <v>Fri</v>
      </c>
    </row>
    <row r="58" spans="1:8" x14ac:dyDescent="0.2">
      <c r="A58" t="s">
        <v>131</v>
      </c>
      <c r="B58" t="s">
        <v>132</v>
      </c>
      <c r="C58" t="s">
        <v>14</v>
      </c>
      <c r="D58">
        <v>35030</v>
      </c>
      <c r="E58" s="1">
        <v>40060</v>
      </c>
      <c r="F58" s="1">
        <v>40140</v>
      </c>
      <c r="G58" t="str">
        <f t="shared" si="0"/>
        <v>R</v>
      </c>
      <c r="H58" t="str">
        <f t="shared" si="1"/>
        <v>Fri</v>
      </c>
    </row>
    <row r="59" spans="1:8" x14ac:dyDescent="0.2">
      <c r="A59" t="s">
        <v>133</v>
      </c>
      <c r="B59" t="s">
        <v>134</v>
      </c>
      <c r="C59" t="s">
        <v>135</v>
      </c>
      <c r="D59">
        <v>27732</v>
      </c>
      <c r="E59" s="1">
        <v>40060</v>
      </c>
      <c r="F59" s="1">
        <v>40140</v>
      </c>
      <c r="G59" t="str">
        <f t="shared" si="0"/>
        <v>S</v>
      </c>
      <c r="H59" t="str">
        <f t="shared" si="1"/>
        <v>Fri</v>
      </c>
    </row>
    <row r="60" spans="1:8" x14ac:dyDescent="0.2">
      <c r="A60" t="s">
        <v>136</v>
      </c>
      <c r="B60" t="s">
        <v>137</v>
      </c>
      <c r="C60" t="s">
        <v>14</v>
      </c>
      <c r="D60">
        <v>20203</v>
      </c>
      <c r="E60" s="1">
        <v>40060</v>
      </c>
      <c r="F60" s="1">
        <v>40140</v>
      </c>
      <c r="G60" t="str">
        <f t="shared" si="0"/>
        <v>O</v>
      </c>
      <c r="H60" t="str">
        <f t="shared" si="1"/>
        <v>Fri</v>
      </c>
    </row>
    <row r="61" spans="1:8" x14ac:dyDescent="0.2">
      <c r="A61" t="s">
        <v>138</v>
      </c>
      <c r="B61" t="s">
        <v>139</v>
      </c>
      <c r="C61" t="s">
        <v>70</v>
      </c>
      <c r="D61">
        <v>25231</v>
      </c>
      <c r="E61" s="1">
        <v>40060</v>
      </c>
      <c r="F61" s="1">
        <v>40140</v>
      </c>
      <c r="G61" t="str">
        <f t="shared" si="0"/>
        <v>K</v>
      </c>
      <c r="H61" t="str">
        <f t="shared" si="1"/>
        <v>Fri</v>
      </c>
    </row>
    <row r="62" spans="1:8" x14ac:dyDescent="0.2">
      <c r="A62" t="s">
        <v>140</v>
      </c>
      <c r="B62" t="s">
        <v>141</v>
      </c>
      <c r="C62" t="s">
        <v>20</v>
      </c>
      <c r="D62">
        <v>27197</v>
      </c>
      <c r="E62" s="1">
        <v>40053</v>
      </c>
      <c r="F62" s="1">
        <v>40140</v>
      </c>
      <c r="G62" t="str">
        <f t="shared" si="0"/>
        <v>V</v>
      </c>
      <c r="H62" t="str">
        <f t="shared" si="1"/>
        <v>Fri</v>
      </c>
    </row>
    <row r="63" spans="1:8" x14ac:dyDescent="0.2">
      <c r="A63" t="s">
        <v>142</v>
      </c>
      <c r="B63" t="s">
        <v>143</v>
      </c>
      <c r="C63" t="s">
        <v>11</v>
      </c>
      <c r="D63">
        <v>1909</v>
      </c>
      <c r="E63" s="1">
        <v>40053</v>
      </c>
      <c r="F63" s="1">
        <v>40140</v>
      </c>
      <c r="G63" t="str">
        <f t="shared" si="0"/>
        <v>F</v>
      </c>
      <c r="H63" t="str">
        <f t="shared" si="1"/>
        <v>Fri</v>
      </c>
    </row>
    <row r="64" spans="1:8" x14ac:dyDescent="0.2">
      <c r="A64" t="s">
        <v>144</v>
      </c>
      <c r="B64" t="s">
        <v>145</v>
      </c>
      <c r="C64" t="s">
        <v>146</v>
      </c>
      <c r="D64">
        <v>28312</v>
      </c>
      <c r="E64" s="1">
        <v>40053</v>
      </c>
      <c r="F64" s="1">
        <v>40140</v>
      </c>
      <c r="G64" t="str">
        <f t="shared" si="0"/>
        <v>B</v>
      </c>
      <c r="H64" t="str">
        <f t="shared" si="1"/>
        <v>Fri</v>
      </c>
    </row>
    <row r="65" spans="1:8" x14ac:dyDescent="0.2">
      <c r="A65" t="s">
        <v>147</v>
      </c>
      <c r="B65" t="s">
        <v>148</v>
      </c>
      <c r="C65" t="s">
        <v>79</v>
      </c>
      <c r="D65">
        <v>32618</v>
      </c>
      <c r="E65" s="1">
        <v>40046</v>
      </c>
      <c r="F65" s="1">
        <v>40140</v>
      </c>
      <c r="G65" t="str">
        <f t="shared" si="0"/>
        <v>A</v>
      </c>
      <c r="H65" t="str">
        <f t="shared" si="1"/>
        <v>Fri</v>
      </c>
    </row>
    <row r="66" spans="1:8" x14ac:dyDescent="0.2">
      <c r="A66" t="s">
        <v>149</v>
      </c>
      <c r="B66" t="s">
        <v>150</v>
      </c>
      <c r="C66" t="s">
        <v>27</v>
      </c>
      <c r="D66">
        <v>22130</v>
      </c>
      <c r="E66" s="1">
        <v>40046</v>
      </c>
      <c r="F66" s="1">
        <v>40140</v>
      </c>
      <c r="G66" t="str">
        <f t="shared" si="0"/>
        <v>B</v>
      </c>
      <c r="H66" t="str">
        <f t="shared" si="1"/>
        <v>Fri</v>
      </c>
    </row>
    <row r="67" spans="1:8" x14ac:dyDescent="0.2">
      <c r="A67" t="s">
        <v>151</v>
      </c>
      <c r="B67" t="s">
        <v>152</v>
      </c>
      <c r="C67" t="s">
        <v>36</v>
      </c>
      <c r="D67">
        <v>57702</v>
      </c>
      <c r="E67" s="1">
        <v>40046</v>
      </c>
      <c r="F67" s="1">
        <v>40140</v>
      </c>
      <c r="G67" t="str">
        <f t="shared" ref="G67:G130" si="2">LEFT(B67,1)</f>
        <v>N</v>
      </c>
      <c r="H67" t="str">
        <f t="shared" ref="H67:H130" si="3">TEXT(E67,"DDD")</f>
        <v>Fri</v>
      </c>
    </row>
    <row r="68" spans="1:8" x14ac:dyDescent="0.2">
      <c r="A68" t="s">
        <v>153</v>
      </c>
      <c r="B68" t="s">
        <v>35</v>
      </c>
      <c r="C68" t="s">
        <v>36</v>
      </c>
      <c r="D68">
        <v>34682</v>
      </c>
      <c r="E68" s="1">
        <v>40046</v>
      </c>
      <c r="F68" s="1">
        <v>40140</v>
      </c>
      <c r="G68" t="str">
        <f t="shared" si="2"/>
        <v>A</v>
      </c>
      <c r="H68" t="str">
        <f t="shared" si="3"/>
        <v>Fri</v>
      </c>
    </row>
    <row r="69" spans="1:8" x14ac:dyDescent="0.2">
      <c r="A69" t="s">
        <v>154</v>
      </c>
      <c r="B69" t="s">
        <v>155</v>
      </c>
      <c r="C69" t="s">
        <v>156</v>
      </c>
      <c r="D69">
        <v>34043</v>
      </c>
      <c r="E69" s="1">
        <v>40039</v>
      </c>
      <c r="F69" s="1">
        <v>40140</v>
      </c>
      <c r="G69" t="str">
        <f t="shared" si="2"/>
        <v>L</v>
      </c>
      <c r="H69" t="str">
        <f t="shared" si="3"/>
        <v>Fri</v>
      </c>
    </row>
    <row r="70" spans="1:8" x14ac:dyDescent="0.2">
      <c r="A70" t="s">
        <v>157</v>
      </c>
      <c r="B70" t="s">
        <v>94</v>
      </c>
      <c r="C70" t="s">
        <v>42</v>
      </c>
      <c r="D70">
        <v>57645</v>
      </c>
      <c r="E70" s="1">
        <v>40039</v>
      </c>
      <c r="F70" s="1">
        <v>40140</v>
      </c>
      <c r="G70" t="str">
        <f t="shared" si="2"/>
        <v>P</v>
      </c>
      <c r="H70" t="str">
        <f t="shared" si="3"/>
        <v>Fri</v>
      </c>
    </row>
    <row r="71" spans="1:8" x14ac:dyDescent="0.2">
      <c r="A71" t="s">
        <v>158</v>
      </c>
      <c r="B71" t="s">
        <v>159</v>
      </c>
      <c r="C71" t="s">
        <v>42</v>
      </c>
      <c r="D71">
        <v>34485</v>
      </c>
      <c r="E71" s="1">
        <v>40039</v>
      </c>
      <c r="F71" s="1">
        <v>40140</v>
      </c>
      <c r="G71" t="str">
        <f t="shared" si="2"/>
        <v>G</v>
      </c>
      <c r="H71" t="str">
        <f t="shared" si="3"/>
        <v>Fri</v>
      </c>
    </row>
    <row r="72" spans="1:8" x14ac:dyDescent="0.2">
      <c r="A72" t="s">
        <v>160</v>
      </c>
      <c r="B72" t="s">
        <v>161</v>
      </c>
      <c r="C72" t="s">
        <v>27</v>
      </c>
      <c r="D72">
        <v>9609</v>
      </c>
      <c r="E72" s="1">
        <v>40039</v>
      </c>
      <c r="F72" s="1">
        <v>40140</v>
      </c>
      <c r="G72" t="str">
        <f t="shared" si="2"/>
        <v>M</v>
      </c>
      <c r="H72" t="str">
        <f t="shared" si="3"/>
        <v>Fri</v>
      </c>
    </row>
    <row r="73" spans="1:8" x14ac:dyDescent="0.2">
      <c r="A73" t="s">
        <v>162</v>
      </c>
      <c r="B73" t="s">
        <v>163</v>
      </c>
      <c r="C73" t="s">
        <v>164</v>
      </c>
      <c r="D73">
        <v>31559</v>
      </c>
      <c r="E73" s="1">
        <v>40039</v>
      </c>
      <c r="F73" s="1">
        <v>40140</v>
      </c>
      <c r="G73" t="str">
        <f t="shared" si="2"/>
        <v>P</v>
      </c>
      <c r="H73" t="str">
        <f t="shared" si="3"/>
        <v>Fri</v>
      </c>
    </row>
    <row r="74" spans="1:8" x14ac:dyDescent="0.2">
      <c r="A74" t="s">
        <v>165</v>
      </c>
      <c r="B74" t="s">
        <v>166</v>
      </c>
      <c r="C74" t="s">
        <v>167</v>
      </c>
      <c r="D74">
        <v>23268</v>
      </c>
      <c r="E74" s="1">
        <v>40032</v>
      </c>
      <c r="F74" s="1">
        <v>40140</v>
      </c>
      <c r="G74" t="str">
        <f t="shared" si="2"/>
        <v>P</v>
      </c>
      <c r="H74" t="str">
        <f t="shared" si="3"/>
        <v>Fri</v>
      </c>
    </row>
    <row r="75" spans="1:8" x14ac:dyDescent="0.2">
      <c r="A75" t="s">
        <v>168</v>
      </c>
      <c r="B75" t="s">
        <v>169</v>
      </c>
      <c r="C75" t="s">
        <v>33</v>
      </c>
      <c r="D75">
        <v>27183</v>
      </c>
      <c r="E75" s="1">
        <v>40032</v>
      </c>
      <c r="F75" s="1">
        <v>40140</v>
      </c>
      <c r="G75" t="str">
        <f t="shared" si="2"/>
        <v>V</v>
      </c>
      <c r="H75" t="str">
        <f t="shared" si="3"/>
        <v>Fri</v>
      </c>
    </row>
    <row r="76" spans="1:8" x14ac:dyDescent="0.2">
      <c r="A76" t="s">
        <v>129</v>
      </c>
      <c r="B76" t="s">
        <v>65</v>
      </c>
      <c r="C76" t="s">
        <v>33</v>
      </c>
      <c r="D76">
        <v>27364</v>
      </c>
      <c r="E76" s="1">
        <v>40032</v>
      </c>
      <c r="F76" s="1">
        <v>40140</v>
      </c>
      <c r="G76" t="str">
        <f t="shared" si="2"/>
        <v>S</v>
      </c>
      <c r="H76" t="str">
        <f t="shared" si="3"/>
        <v>Fri</v>
      </c>
    </row>
    <row r="77" spans="1:8" x14ac:dyDescent="0.2">
      <c r="A77" t="s">
        <v>170</v>
      </c>
      <c r="B77" t="s">
        <v>171</v>
      </c>
      <c r="C77" t="s">
        <v>14</v>
      </c>
      <c r="D77">
        <v>18659</v>
      </c>
      <c r="E77" s="1">
        <v>40025</v>
      </c>
      <c r="F77" s="1">
        <v>40140</v>
      </c>
      <c r="G77" t="str">
        <f t="shared" si="2"/>
        <v>H</v>
      </c>
      <c r="H77" t="str">
        <f t="shared" si="3"/>
        <v>Fri</v>
      </c>
    </row>
    <row r="78" spans="1:8" x14ac:dyDescent="0.2">
      <c r="A78" t="s">
        <v>172</v>
      </c>
      <c r="B78" t="s">
        <v>173</v>
      </c>
      <c r="C78" t="s">
        <v>174</v>
      </c>
      <c r="D78">
        <v>34270</v>
      </c>
      <c r="E78" s="1">
        <v>40025</v>
      </c>
      <c r="F78" s="1">
        <v>40140</v>
      </c>
      <c r="G78" t="str">
        <f t="shared" si="2"/>
        <v>E</v>
      </c>
      <c r="H78" t="str">
        <f t="shared" si="3"/>
        <v>Fri</v>
      </c>
    </row>
    <row r="79" spans="1:8" x14ac:dyDescent="0.2">
      <c r="A79" t="s">
        <v>175</v>
      </c>
      <c r="B79" t="s">
        <v>176</v>
      </c>
      <c r="C79" t="s">
        <v>52</v>
      </c>
      <c r="D79">
        <v>32288</v>
      </c>
      <c r="E79" s="1">
        <v>40025</v>
      </c>
      <c r="F79" s="1">
        <v>40140</v>
      </c>
      <c r="G79" t="str">
        <f t="shared" si="2"/>
        <v>W</v>
      </c>
      <c r="H79" t="str">
        <f t="shared" si="3"/>
        <v>Fri</v>
      </c>
    </row>
    <row r="80" spans="1:8" x14ac:dyDescent="0.2">
      <c r="A80" t="s">
        <v>177</v>
      </c>
      <c r="B80" t="s">
        <v>178</v>
      </c>
      <c r="C80" t="s">
        <v>33</v>
      </c>
      <c r="D80">
        <v>57604</v>
      </c>
      <c r="E80" s="1">
        <v>40025</v>
      </c>
      <c r="F80" s="1">
        <v>40140</v>
      </c>
      <c r="G80" t="str">
        <f t="shared" si="2"/>
        <v>J</v>
      </c>
      <c r="H80" t="str">
        <f t="shared" si="3"/>
        <v>Fri</v>
      </c>
    </row>
    <row r="81" spans="1:8" x14ac:dyDescent="0.2">
      <c r="A81" t="s">
        <v>179</v>
      </c>
      <c r="B81" t="s">
        <v>180</v>
      </c>
      <c r="C81" t="s">
        <v>181</v>
      </c>
      <c r="D81">
        <v>9873</v>
      </c>
      <c r="E81" s="1">
        <v>40025</v>
      </c>
      <c r="F81" s="1">
        <v>40140</v>
      </c>
      <c r="G81" t="str">
        <f t="shared" si="2"/>
        <v>A</v>
      </c>
      <c r="H81" t="str">
        <f t="shared" si="3"/>
        <v>Fri</v>
      </c>
    </row>
    <row r="82" spans="1:8" x14ac:dyDescent="0.2">
      <c r="A82" t="s">
        <v>182</v>
      </c>
      <c r="B82" t="s">
        <v>183</v>
      </c>
      <c r="C82" t="s">
        <v>36</v>
      </c>
      <c r="D82">
        <v>8486</v>
      </c>
      <c r="E82" s="1">
        <v>40018</v>
      </c>
      <c r="F82" s="1">
        <v>40140</v>
      </c>
      <c r="G82" t="str">
        <f t="shared" si="2"/>
        <v>G</v>
      </c>
      <c r="H82" t="str">
        <f t="shared" si="3"/>
        <v>Fri</v>
      </c>
    </row>
    <row r="83" spans="1:8" x14ac:dyDescent="0.2">
      <c r="A83" t="s">
        <v>184</v>
      </c>
      <c r="B83" t="s">
        <v>185</v>
      </c>
      <c r="C83" t="s">
        <v>36</v>
      </c>
      <c r="D83">
        <v>27048</v>
      </c>
      <c r="E83" s="1">
        <v>40018</v>
      </c>
      <c r="F83" s="1">
        <v>40140</v>
      </c>
      <c r="G83" t="str">
        <f t="shared" si="2"/>
        <v>P</v>
      </c>
      <c r="H83" t="str">
        <f t="shared" si="3"/>
        <v>Fri</v>
      </c>
    </row>
    <row r="84" spans="1:8" x14ac:dyDescent="0.2">
      <c r="A84" t="s">
        <v>186</v>
      </c>
      <c r="B84" t="s">
        <v>187</v>
      </c>
      <c r="C84" t="s">
        <v>36</v>
      </c>
      <c r="D84">
        <v>27367</v>
      </c>
      <c r="E84" s="1">
        <v>40018</v>
      </c>
      <c r="F84" s="1">
        <v>40140</v>
      </c>
      <c r="G84" t="str">
        <f t="shared" si="2"/>
        <v>M</v>
      </c>
      <c r="H84" t="str">
        <f t="shared" si="3"/>
        <v>Fri</v>
      </c>
    </row>
    <row r="85" spans="1:8" x14ac:dyDescent="0.2">
      <c r="A85" t="s">
        <v>188</v>
      </c>
      <c r="B85" t="s">
        <v>189</v>
      </c>
      <c r="C85" t="s">
        <v>36</v>
      </c>
      <c r="D85">
        <v>57105</v>
      </c>
      <c r="E85" s="1">
        <v>40018</v>
      </c>
      <c r="F85" s="1">
        <v>40140</v>
      </c>
      <c r="G85" t="str">
        <f t="shared" si="2"/>
        <v>W</v>
      </c>
      <c r="H85" t="str">
        <f t="shared" si="3"/>
        <v>Fri</v>
      </c>
    </row>
    <row r="86" spans="1:8" x14ac:dyDescent="0.2">
      <c r="A86" t="s">
        <v>190</v>
      </c>
      <c r="B86" t="s">
        <v>191</v>
      </c>
      <c r="C86" t="s">
        <v>36</v>
      </c>
      <c r="D86">
        <v>57430</v>
      </c>
      <c r="E86" s="1">
        <v>40018</v>
      </c>
      <c r="F86" s="1">
        <v>40140</v>
      </c>
      <c r="G86" t="str">
        <f t="shared" si="2"/>
        <v>A</v>
      </c>
      <c r="H86" t="str">
        <f t="shared" si="3"/>
        <v>Fri</v>
      </c>
    </row>
    <row r="87" spans="1:8" x14ac:dyDescent="0.2">
      <c r="A87" t="s">
        <v>192</v>
      </c>
      <c r="B87" t="s">
        <v>193</v>
      </c>
      <c r="C87" t="s">
        <v>36</v>
      </c>
      <c r="D87">
        <v>57346</v>
      </c>
      <c r="E87" s="1">
        <v>40018</v>
      </c>
      <c r="F87" s="1">
        <v>40140</v>
      </c>
      <c r="G87" t="str">
        <f t="shared" si="2"/>
        <v>S</v>
      </c>
      <c r="H87" t="str">
        <f t="shared" si="3"/>
        <v>Fri</v>
      </c>
    </row>
    <row r="88" spans="1:8" x14ac:dyDescent="0.2">
      <c r="A88" t="s">
        <v>194</v>
      </c>
      <c r="B88" t="s">
        <v>195</v>
      </c>
      <c r="C88" t="s">
        <v>196</v>
      </c>
      <c r="D88">
        <v>58065</v>
      </c>
      <c r="E88" s="1">
        <v>40018</v>
      </c>
      <c r="F88" s="1">
        <v>40140</v>
      </c>
      <c r="G88" t="str">
        <f t="shared" si="2"/>
        <v>W</v>
      </c>
      <c r="H88" t="str">
        <f t="shared" si="3"/>
        <v>Fri</v>
      </c>
    </row>
    <row r="89" spans="1:8" x14ac:dyDescent="0.2">
      <c r="A89" t="s">
        <v>197</v>
      </c>
      <c r="B89" t="s">
        <v>198</v>
      </c>
      <c r="C89" t="s">
        <v>20</v>
      </c>
      <c r="D89">
        <v>34341</v>
      </c>
      <c r="E89" s="1">
        <v>40011</v>
      </c>
      <c r="F89" s="1">
        <v>40140</v>
      </c>
      <c r="G89" t="str">
        <f t="shared" si="2"/>
        <v>T</v>
      </c>
      <c r="H89" t="str">
        <f t="shared" si="3"/>
        <v>Fri</v>
      </c>
    </row>
    <row r="90" spans="1:8" x14ac:dyDescent="0.2">
      <c r="A90" t="s">
        <v>199</v>
      </c>
      <c r="B90" t="s">
        <v>200</v>
      </c>
      <c r="C90" t="s">
        <v>20</v>
      </c>
      <c r="D90">
        <v>23556</v>
      </c>
      <c r="E90" s="1">
        <v>40011</v>
      </c>
      <c r="F90" s="1">
        <v>40140</v>
      </c>
      <c r="G90" t="str">
        <f t="shared" si="2"/>
        <v>R</v>
      </c>
      <c r="H90" t="str">
        <f t="shared" si="3"/>
        <v>Fri</v>
      </c>
    </row>
    <row r="91" spans="1:8" x14ac:dyDescent="0.2">
      <c r="A91" t="s">
        <v>201</v>
      </c>
      <c r="B91" t="s">
        <v>202</v>
      </c>
      <c r="C91" t="s">
        <v>203</v>
      </c>
      <c r="D91">
        <v>34103</v>
      </c>
      <c r="E91" s="1">
        <v>40011</v>
      </c>
      <c r="F91" s="1">
        <v>40140</v>
      </c>
      <c r="G91" t="str">
        <f t="shared" si="2"/>
        <v>S</v>
      </c>
      <c r="H91" t="str">
        <f t="shared" si="3"/>
        <v>Fri</v>
      </c>
    </row>
    <row r="92" spans="1:8" x14ac:dyDescent="0.2">
      <c r="A92" t="s">
        <v>204</v>
      </c>
      <c r="B92" t="s">
        <v>205</v>
      </c>
      <c r="C92" t="s">
        <v>36</v>
      </c>
      <c r="D92">
        <v>34594</v>
      </c>
      <c r="E92" s="1">
        <v>40011</v>
      </c>
      <c r="F92" s="1">
        <v>40140</v>
      </c>
      <c r="G92" t="str">
        <f t="shared" si="2"/>
        <v>W</v>
      </c>
      <c r="H92" t="str">
        <f t="shared" si="3"/>
        <v>Fri</v>
      </c>
    </row>
    <row r="93" spans="1:8" x14ac:dyDescent="0.2">
      <c r="A93" t="s">
        <v>206</v>
      </c>
      <c r="B93" t="s">
        <v>207</v>
      </c>
      <c r="C93" t="s">
        <v>208</v>
      </c>
      <c r="D93">
        <v>22754</v>
      </c>
      <c r="E93" s="1">
        <v>40004</v>
      </c>
      <c r="F93" s="1">
        <v>40140</v>
      </c>
      <c r="G93" t="str">
        <f t="shared" si="2"/>
        <v>T</v>
      </c>
      <c r="H93" t="str">
        <f t="shared" si="3"/>
        <v>Fri</v>
      </c>
    </row>
    <row r="94" spans="1:8" x14ac:dyDescent="0.2">
      <c r="A94" t="s">
        <v>209</v>
      </c>
      <c r="B94" t="s">
        <v>210</v>
      </c>
      <c r="C94" t="s">
        <v>14</v>
      </c>
      <c r="D94">
        <v>18390</v>
      </c>
      <c r="E94" s="1">
        <v>39996</v>
      </c>
      <c r="F94" s="1">
        <v>40140</v>
      </c>
      <c r="G94" t="str">
        <f t="shared" si="2"/>
        <v>W</v>
      </c>
      <c r="H94" t="str">
        <f t="shared" si="3"/>
        <v>Thu</v>
      </c>
    </row>
    <row r="95" spans="1:8" x14ac:dyDescent="0.2">
      <c r="A95" t="s">
        <v>211</v>
      </c>
      <c r="B95" t="s">
        <v>212</v>
      </c>
      <c r="C95" t="s">
        <v>79</v>
      </c>
      <c r="D95">
        <v>57667</v>
      </c>
      <c r="E95" s="1">
        <v>39996</v>
      </c>
      <c r="F95" s="1">
        <v>40140</v>
      </c>
      <c r="G95" t="str">
        <f t="shared" si="2"/>
        <v>D</v>
      </c>
      <c r="H95" t="str">
        <f t="shared" si="3"/>
        <v>Thu</v>
      </c>
    </row>
    <row r="96" spans="1:8" x14ac:dyDescent="0.2">
      <c r="A96" t="s">
        <v>213</v>
      </c>
      <c r="B96" t="s">
        <v>214</v>
      </c>
      <c r="C96" t="s">
        <v>14</v>
      </c>
      <c r="D96">
        <v>3644</v>
      </c>
      <c r="E96" s="1">
        <v>39996</v>
      </c>
      <c r="F96" s="1">
        <v>40140</v>
      </c>
      <c r="G96" t="str">
        <f t="shared" si="2"/>
        <v>D</v>
      </c>
      <c r="H96" t="str">
        <f t="shared" si="3"/>
        <v>Thu</v>
      </c>
    </row>
    <row r="97" spans="1:8" x14ac:dyDescent="0.2">
      <c r="A97" t="s">
        <v>215</v>
      </c>
      <c r="B97" t="s">
        <v>173</v>
      </c>
      <c r="C97" t="s">
        <v>14</v>
      </c>
      <c r="D97">
        <v>9262</v>
      </c>
      <c r="E97" s="1">
        <v>39996</v>
      </c>
      <c r="F97" s="1">
        <v>40140</v>
      </c>
      <c r="G97" t="str">
        <f t="shared" si="2"/>
        <v>E</v>
      </c>
      <c r="H97" t="str">
        <f t="shared" si="3"/>
        <v>Thu</v>
      </c>
    </row>
    <row r="98" spans="1:8" x14ac:dyDescent="0.2">
      <c r="A98" t="s">
        <v>216</v>
      </c>
      <c r="B98" t="s">
        <v>217</v>
      </c>
      <c r="C98" t="s">
        <v>14</v>
      </c>
      <c r="D98">
        <v>15302</v>
      </c>
      <c r="E98" s="1">
        <v>39996</v>
      </c>
      <c r="F98" s="1">
        <v>40140</v>
      </c>
      <c r="G98" t="str">
        <f t="shared" si="2"/>
        <v>O</v>
      </c>
      <c r="H98" t="str">
        <f t="shared" si="3"/>
        <v>Thu</v>
      </c>
    </row>
    <row r="99" spans="1:8" x14ac:dyDescent="0.2">
      <c r="A99" t="s">
        <v>218</v>
      </c>
      <c r="B99" t="s">
        <v>219</v>
      </c>
      <c r="C99" t="s">
        <v>14</v>
      </c>
      <c r="D99">
        <v>11710</v>
      </c>
      <c r="E99" s="1">
        <v>39996</v>
      </c>
      <c r="F99" s="1">
        <v>40140</v>
      </c>
      <c r="G99" t="str">
        <f t="shared" si="2"/>
        <v>W</v>
      </c>
      <c r="H99" t="str">
        <f t="shared" si="3"/>
        <v>Thu</v>
      </c>
    </row>
    <row r="100" spans="1:8" x14ac:dyDescent="0.2">
      <c r="A100" t="s">
        <v>220</v>
      </c>
      <c r="B100" t="s">
        <v>221</v>
      </c>
      <c r="C100" t="s">
        <v>14</v>
      </c>
      <c r="D100">
        <v>12093</v>
      </c>
      <c r="E100" s="1">
        <v>39996</v>
      </c>
      <c r="F100" s="1">
        <v>40140</v>
      </c>
      <c r="G100" t="str">
        <f t="shared" si="2"/>
        <v>C</v>
      </c>
      <c r="H100" t="str">
        <f t="shared" si="3"/>
        <v>Thu</v>
      </c>
    </row>
    <row r="101" spans="1:8" x14ac:dyDescent="0.2">
      <c r="A101" t="s">
        <v>222</v>
      </c>
      <c r="B101" t="s">
        <v>88</v>
      </c>
      <c r="C101" t="s">
        <v>20</v>
      </c>
      <c r="D101">
        <v>57332</v>
      </c>
      <c r="E101" s="1">
        <v>39990</v>
      </c>
      <c r="F101" s="1">
        <v>40140</v>
      </c>
      <c r="G101" t="str">
        <f t="shared" si="2"/>
        <v>L</v>
      </c>
      <c r="H101" t="str">
        <f t="shared" si="3"/>
        <v>Fri</v>
      </c>
    </row>
    <row r="102" spans="1:8" x14ac:dyDescent="0.2">
      <c r="A102" t="s">
        <v>223</v>
      </c>
      <c r="B102" t="s">
        <v>224</v>
      </c>
      <c r="C102" t="s">
        <v>20</v>
      </c>
      <c r="D102">
        <v>57893</v>
      </c>
      <c r="E102" s="1">
        <v>39990</v>
      </c>
      <c r="F102" s="1">
        <v>40140</v>
      </c>
      <c r="G102" t="str">
        <f t="shared" si="2"/>
        <v>I</v>
      </c>
      <c r="H102" t="str">
        <f t="shared" si="3"/>
        <v>Fri</v>
      </c>
    </row>
    <row r="103" spans="1:8" x14ac:dyDescent="0.2">
      <c r="A103" t="s">
        <v>15</v>
      </c>
      <c r="B103" t="s">
        <v>225</v>
      </c>
      <c r="C103" t="s">
        <v>11</v>
      </c>
      <c r="D103">
        <v>9744</v>
      </c>
      <c r="E103" s="1">
        <v>39990</v>
      </c>
      <c r="F103" s="1">
        <v>40140</v>
      </c>
      <c r="G103" t="str">
        <f t="shared" si="2"/>
        <v>P</v>
      </c>
      <c r="H103" t="str">
        <f t="shared" si="3"/>
        <v>Fri</v>
      </c>
    </row>
    <row r="104" spans="1:8" x14ac:dyDescent="0.2">
      <c r="A104" t="s">
        <v>226</v>
      </c>
      <c r="B104" t="s">
        <v>152</v>
      </c>
      <c r="C104" t="s">
        <v>36</v>
      </c>
      <c r="D104">
        <v>35285</v>
      </c>
      <c r="E104" s="1">
        <v>39990</v>
      </c>
      <c r="F104" s="1">
        <v>40140</v>
      </c>
      <c r="G104" t="str">
        <f t="shared" si="2"/>
        <v>N</v>
      </c>
      <c r="H104" t="str">
        <f t="shared" si="3"/>
        <v>Fri</v>
      </c>
    </row>
    <row r="105" spans="1:8" x14ac:dyDescent="0.2">
      <c r="A105" t="s">
        <v>227</v>
      </c>
      <c r="B105" t="s">
        <v>228</v>
      </c>
      <c r="C105" t="s">
        <v>36</v>
      </c>
      <c r="D105">
        <v>57436</v>
      </c>
      <c r="E105" s="1">
        <v>39990</v>
      </c>
      <c r="F105" s="1">
        <v>40140</v>
      </c>
      <c r="G105" t="str">
        <f t="shared" si="2"/>
        <v>V</v>
      </c>
      <c r="H105" t="str">
        <f t="shared" si="3"/>
        <v>Fri</v>
      </c>
    </row>
    <row r="106" spans="1:8" x14ac:dyDescent="0.2">
      <c r="A106" t="s">
        <v>229</v>
      </c>
      <c r="B106" t="s">
        <v>230</v>
      </c>
      <c r="C106" t="s">
        <v>39</v>
      </c>
      <c r="D106">
        <v>4614</v>
      </c>
      <c r="E106" s="1">
        <v>39983</v>
      </c>
      <c r="F106" s="1">
        <v>40140</v>
      </c>
      <c r="G106" t="str">
        <f t="shared" si="2"/>
        <v>A</v>
      </c>
      <c r="H106" t="str">
        <f t="shared" si="3"/>
        <v>Fri</v>
      </c>
    </row>
    <row r="107" spans="1:8" x14ac:dyDescent="0.2">
      <c r="A107" t="s">
        <v>231</v>
      </c>
      <c r="B107" t="s">
        <v>232</v>
      </c>
      <c r="C107" t="s">
        <v>233</v>
      </c>
      <c r="D107">
        <v>27837</v>
      </c>
      <c r="E107" s="1">
        <v>39983</v>
      </c>
      <c r="F107" s="1">
        <v>40140</v>
      </c>
      <c r="G107" t="str">
        <f t="shared" si="2"/>
        <v>W</v>
      </c>
      <c r="H107" t="str">
        <f t="shared" si="3"/>
        <v>Fri</v>
      </c>
    </row>
    <row r="108" spans="1:8" x14ac:dyDescent="0.2">
      <c r="A108" t="s">
        <v>234</v>
      </c>
      <c r="B108" t="s">
        <v>235</v>
      </c>
      <c r="C108" t="s">
        <v>36</v>
      </c>
      <c r="D108">
        <v>35251</v>
      </c>
      <c r="E108" s="1">
        <v>39983</v>
      </c>
      <c r="F108" s="1">
        <v>40140</v>
      </c>
      <c r="G108" t="str">
        <f t="shared" si="2"/>
        <v>F</v>
      </c>
      <c r="H108" t="str">
        <f t="shared" si="3"/>
        <v>Fri</v>
      </c>
    </row>
    <row r="109" spans="1:8" x14ac:dyDescent="0.2">
      <c r="A109" t="s">
        <v>236</v>
      </c>
      <c r="B109" t="s">
        <v>237</v>
      </c>
      <c r="C109" t="s">
        <v>14</v>
      </c>
      <c r="D109">
        <v>17309</v>
      </c>
      <c r="E109" s="1">
        <v>39969</v>
      </c>
      <c r="F109" s="1">
        <v>40140</v>
      </c>
      <c r="G109" t="str">
        <f t="shared" si="2"/>
        <v>L</v>
      </c>
      <c r="H109" t="str">
        <f t="shared" si="3"/>
        <v>Fri</v>
      </c>
    </row>
    <row r="110" spans="1:8" x14ac:dyDescent="0.2">
      <c r="A110" t="s">
        <v>82</v>
      </c>
      <c r="B110" t="s">
        <v>238</v>
      </c>
      <c r="C110" t="s">
        <v>14</v>
      </c>
      <c r="D110">
        <v>5757</v>
      </c>
      <c r="E110" s="1">
        <v>39955</v>
      </c>
      <c r="F110" s="1">
        <v>40140</v>
      </c>
      <c r="G110" t="str">
        <f t="shared" si="2"/>
        <v>M</v>
      </c>
      <c r="H110" t="str">
        <f t="shared" si="3"/>
        <v>Fri</v>
      </c>
    </row>
    <row r="111" spans="1:8" x14ac:dyDescent="0.2">
      <c r="A111" t="s">
        <v>239</v>
      </c>
      <c r="B111" t="s">
        <v>240</v>
      </c>
      <c r="C111" t="s">
        <v>14</v>
      </c>
      <c r="D111">
        <v>35175</v>
      </c>
      <c r="E111" s="1">
        <v>39955</v>
      </c>
      <c r="F111" s="1">
        <v>40140</v>
      </c>
      <c r="G111" t="str">
        <f t="shared" si="2"/>
        <v>C</v>
      </c>
      <c r="H111" t="str">
        <f t="shared" si="3"/>
        <v>Fri</v>
      </c>
    </row>
    <row r="112" spans="1:8" x14ac:dyDescent="0.2">
      <c r="A112" t="s">
        <v>241</v>
      </c>
      <c r="B112" t="s">
        <v>242</v>
      </c>
      <c r="C112" t="s">
        <v>33</v>
      </c>
      <c r="D112">
        <v>32247</v>
      </c>
      <c r="E112" s="1">
        <v>39954</v>
      </c>
      <c r="F112" s="1">
        <v>40140</v>
      </c>
      <c r="G112" t="str">
        <f t="shared" si="2"/>
        <v>C</v>
      </c>
      <c r="H112" t="str">
        <f t="shared" si="3"/>
        <v>Thu</v>
      </c>
    </row>
    <row r="113" spans="1:8" x14ac:dyDescent="0.2">
      <c r="A113" t="s">
        <v>243</v>
      </c>
      <c r="B113" t="s">
        <v>244</v>
      </c>
      <c r="C113" t="s">
        <v>17</v>
      </c>
      <c r="D113">
        <v>34843</v>
      </c>
      <c r="E113" s="1">
        <v>39941</v>
      </c>
      <c r="F113" s="1">
        <v>40140</v>
      </c>
      <c r="G113" t="str">
        <f t="shared" si="2"/>
        <v>B</v>
      </c>
      <c r="H113" t="str">
        <f t="shared" si="3"/>
        <v>Fri</v>
      </c>
    </row>
    <row r="114" spans="1:8" x14ac:dyDescent="0.2">
      <c r="A114" t="s">
        <v>245</v>
      </c>
      <c r="B114" t="s">
        <v>246</v>
      </c>
      <c r="C114" t="s">
        <v>8</v>
      </c>
      <c r="D114">
        <v>35461</v>
      </c>
      <c r="E114" s="1">
        <v>39934</v>
      </c>
      <c r="F114" s="1">
        <v>40140</v>
      </c>
      <c r="G114" t="str">
        <f t="shared" si="2"/>
        <v>L</v>
      </c>
      <c r="H114" t="str">
        <f t="shared" si="3"/>
        <v>Fri</v>
      </c>
    </row>
    <row r="115" spans="1:8" x14ac:dyDescent="0.2">
      <c r="A115" t="s">
        <v>247</v>
      </c>
      <c r="B115" t="s">
        <v>248</v>
      </c>
      <c r="C115" t="s">
        <v>174</v>
      </c>
      <c r="D115">
        <v>57563</v>
      </c>
      <c r="E115" s="1">
        <v>39934</v>
      </c>
      <c r="F115" s="1">
        <v>40140</v>
      </c>
      <c r="G115" t="str">
        <f t="shared" si="2"/>
        <v>R</v>
      </c>
      <c r="H115" t="str">
        <f t="shared" si="3"/>
        <v>Fri</v>
      </c>
    </row>
    <row r="116" spans="1:8" x14ac:dyDescent="0.2">
      <c r="A116" t="s">
        <v>249</v>
      </c>
      <c r="B116" t="s">
        <v>35</v>
      </c>
      <c r="C116" t="s">
        <v>36</v>
      </c>
      <c r="D116">
        <v>26535</v>
      </c>
      <c r="E116" s="1">
        <v>39934</v>
      </c>
      <c r="F116" s="1">
        <v>40140</v>
      </c>
      <c r="G116" t="str">
        <f t="shared" si="2"/>
        <v>A</v>
      </c>
      <c r="H116" t="str">
        <f t="shared" si="3"/>
        <v>Fri</v>
      </c>
    </row>
    <row r="117" spans="1:8" x14ac:dyDescent="0.2">
      <c r="A117" t="s">
        <v>250</v>
      </c>
      <c r="B117" t="s">
        <v>251</v>
      </c>
      <c r="C117" t="s">
        <v>252</v>
      </c>
      <c r="D117">
        <v>34396</v>
      </c>
      <c r="E117" s="1">
        <v>39927</v>
      </c>
      <c r="F117" s="1">
        <v>40140</v>
      </c>
      <c r="G117" t="str">
        <f t="shared" si="2"/>
        <v>K</v>
      </c>
      <c r="H117" t="str">
        <f t="shared" si="3"/>
        <v>Fri</v>
      </c>
    </row>
    <row r="118" spans="1:8" x14ac:dyDescent="0.2">
      <c r="A118" t="s">
        <v>253</v>
      </c>
      <c r="B118" t="s">
        <v>254</v>
      </c>
      <c r="C118" t="s">
        <v>20</v>
      </c>
      <c r="D118">
        <v>32069</v>
      </c>
      <c r="E118" s="1">
        <v>39927</v>
      </c>
      <c r="F118" s="1">
        <v>40140</v>
      </c>
      <c r="G118" t="str">
        <f t="shared" si="2"/>
        <v>C</v>
      </c>
      <c r="H118" t="str">
        <f t="shared" si="3"/>
        <v>Fri</v>
      </c>
    </row>
    <row r="119" spans="1:8" x14ac:dyDescent="0.2">
      <c r="A119" t="s">
        <v>255</v>
      </c>
      <c r="B119" t="s">
        <v>256</v>
      </c>
      <c r="C119" t="s">
        <v>30</v>
      </c>
      <c r="D119">
        <v>34369</v>
      </c>
      <c r="E119" s="1">
        <v>39927</v>
      </c>
      <c r="F119" s="1">
        <v>40140</v>
      </c>
      <c r="G119" t="str">
        <f t="shared" si="2"/>
        <v>F</v>
      </c>
      <c r="H119" t="str">
        <f t="shared" si="3"/>
        <v>Fri</v>
      </c>
    </row>
    <row r="120" spans="1:8" x14ac:dyDescent="0.2">
      <c r="A120" t="s">
        <v>257</v>
      </c>
      <c r="B120" t="s">
        <v>258</v>
      </c>
      <c r="C120" t="s">
        <v>36</v>
      </c>
      <c r="D120">
        <v>57943</v>
      </c>
      <c r="E120" s="1">
        <v>39927</v>
      </c>
      <c r="F120" s="1">
        <v>40140</v>
      </c>
      <c r="G120" t="str">
        <f t="shared" si="2"/>
        <v>K</v>
      </c>
      <c r="H120" t="str">
        <f t="shared" si="3"/>
        <v>Fri</v>
      </c>
    </row>
    <row r="121" spans="1:8" x14ac:dyDescent="0.2">
      <c r="A121" t="s">
        <v>259</v>
      </c>
      <c r="B121" t="s">
        <v>260</v>
      </c>
      <c r="C121" t="s">
        <v>156</v>
      </c>
      <c r="D121">
        <v>33824</v>
      </c>
      <c r="E121" s="1">
        <v>39920</v>
      </c>
      <c r="F121" s="1">
        <v>40140</v>
      </c>
      <c r="G121" t="str">
        <f t="shared" si="2"/>
        <v>E</v>
      </c>
      <c r="H121" t="str">
        <f t="shared" si="3"/>
        <v>Fri</v>
      </c>
    </row>
    <row r="122" spans="1:8" x14ac:dyDescent="0.2">
      <c r="A122" t="s">
        <v>261</v>
      </c>
      <c r="B122" t="s">
        <v>262</v>
      </c>
      <c r="C122" t="s">
        <v>70</v>
      </c>
      <c r="D122">
        <v>8266</v>
      </c>
      <c r="E122" s="1">
        <v>39920</v>
      </c>
      <c r="F122" s="1">
        <v>40140</v>
      </c>
      <c r="G122" t="str">
        <f t="shared" si="2"/>
        <v>S</v>
      </c>
      <c r="H122" t="str">
        <f t="shared" si="3"/>
        <v>Fri</v>
      </c>
    </row>
    <row r="123" spans="1:8" x14ac:dyDescent="0.2">
      <c r="A123" t="s">
        <v>263</v>
      </c>
      <c r="B123" t="s">
        <v>264</v>
      </c>
      <c r="C123" t="s">
        <v>112</v>
      </c>
      <c r="D123">
        <v>34881</v>
      </c>
      <c r="E123" s="1">
        <v>39913</v>
      </c>
      <c r="F123" s="1">
        <v>40170</v>
      </c>
      <c r="G123" t="str">
        <f t="shared" si="2"/>
        <v>G</v>
      </c>
      <c r="H123" t="str">
        <f t="shared" si="3"/>
        <v>Fri</v>
      </c>
    </row>
    <row r="124" spans="1:8" x14ac:dyDescent="0.2">
      <c r="A124" t="s">
        <v>265</v>
      </c>
      <c r="B124" t="s">
        <v>232</v>
      </c>
      <c r="C124" t="s">
        <v>233</v>
      </c>
      <c r="D124">
        <v>34639</v>
      </c>
      <c r="E124" s="1">
        <v>39913</v>
      </c>
      <c r="F124" s="1">
        <v>40140</v>
      </c>
      <c r="G124" t="str">
        <f t="shared" si="2"/>
        <v>W</v>
      </c>
      <c r="H124" t="str">
        <f t="shared" si="3"/>
        <v>Fri</v>
      </c>
    </row>
    <row r="125" spans="1:8" x14ac:dyDescent="0.2">
      <c r="A125" t="s">
        <v>266</v>
      </c>
      <c r="B125" t="s">
        <v>35</v>
      </c>
      <c r="C125" t="s">
        <v>36</v>
      </c>
      <c r="D125">
        <v>22238</v>
      </c>
      <c r="E125" s="1">
        <v>39899</v>
      </c>
      <c r="F125" s="1">
        <v>40140</v>
      </c>
      <c r="G125" t="str">
        <f t="shared" si="2"/>
        <v>A</v>
      </c>
      <c r="H125" t="str">
        <f t="shared" si="3"/>
        <v>Fri</v>
      </c>
    </row>
    <row r="126" spans="1:8" x14ac:dyDescent="0.2">
      <c r="A126" t="s">
        <v>267</v>
      </c>
      <c r="B126" t="s">
        <v>268</v>
      </c>
      <c r="C126" t="s">
        <v>39</v>
      </c>
      <c r="D126">
        <v>4754</v>
      </c>
      <c r="E126" s="1">
        <v>39892</v>
      </c>
      <c r="F126" s="1">
        <v>40140</v>
      </c>
      <c r="G126" t="str">
        <f t="shared" si="2"/>
        <v>P</v>
      </c>
      <c r="H126" t="str">
        <f t="shared" si="3"/>
        <v>Fri</v>
      </c>
    </row>
    <row r="127" spans="1:8" x14ac:dyDescent="0.2">
      <c r="A127" t="s">
        <v>269</v>
      </c>
      <c r="B127" t="s">
        <v>270</v>
      </c>
      <c r="C127" t="s">
        <v>112</v>
      </c>
      <c r="D127">
        <v>18896</v>
      </c>
      <c r="E127" s="1">
        <v>39892</v>
      </c>
      <c r="F127" s="1">
        <v>40140</v>
      </c>
      <c r="G127" t="str">
        <f t="shared" si="2"/>
        <v>C</v>
      </c>
      <c r="H127" t="str">
        <f t="shared" si="3"/>
        <v>Fri</v>
      </c>
    </row>
    <row r="128" spans="1:8" x14ac:dyDescent="0.2">
      <c r="A128" t="s">
        <v>271</v>
      </c>
      <c r="B128" t="s">
        <v>272</v>
      </c>
      <c r="C128" t="s">
        <v>36</v>
      </c>
      <c r="D128">
        <v>18243</v>
      </c>
      <c r="E128" s="1">
        <v>39892</v>
      </c>
      <c r="F128" s="1">
        <v>40140</v>
      </c>
      <c r="G128" t="str">
        <f t="shared" si="2"/>
        <v>S</v>
      </c>
      <c r="H128" t="str">
        <f t="shared" si="3"/>
        <v>Fri</v>
      </c>
    </row>
    <row r="129" spans="1:8" x14ac:dyDescent="0.2">
      <c r="A129" t="s">
        <v>273</v>
      </c>
      <c r="B129" t="s">
        <v>274</v>
      </c>
      <c r="C129" t="s">
        <v>36</v>
      </c>
      <c r="D129">
        <v>57558</v>
      </c>
      <c r="E129" s="1">
        <v>39878</v>
      </c>
      <c r="F129" s="1">
        <v>40140</v>
      </c>
      <c r="G129" t="str">
        <f t="shared" si="2"/>
        <v>C</v>
      </c>
      <c r="H129" t="str">
        <f t="shared" si="3"/>
        <v>Fri</v>
      </c>
    </row>
    <row r="130" spans="1:8" x14ac:dyDescent="0.2">
      <c r="A130" t="s">
        <v>275</v>
      </c>
      <c r="B130" t="s">
        <v>276</v>
      </c>
      <c r="C130" t="s">
        <v>156</v>
      </c>
      <c r="D130">
        <v>34820</v>
      </c>
      <c r="E130" s="1">
        <v>39871</v>
      </c>
      <c r="F130" s="1">
        <v>40140</v>
      </c>
      <c r="G130" t="str">
        <f t="shared" si="2"/>
        <v>H</v>
      </c>
      <c r="H130" t="str">
        <f t="shared" si="3"/>
        <v>Fri</v>
      </c>
    </row>
    <row r="131" spans="1:8" x14ac:dyDescent="0.2">
      <c r="A131" t="s">
        <v>277</v>
      </c>
      <c r="B131" t="s">
        <v>278</v>
      </c>
      <c r="C131" t="s">
        <v>14</v>
      </c>
      <c r="D131">
        <v>20078</v>
      </c>
      <c r="E131" s="1">
        <v>39871</v>
      </c>
      <c r="F131" s="1">
        <v>40140</v>
      </c>
      <c r="G131" t="str">
        <f t="shared" ref="G131:G194" si="4">LEFT(B131,1)</f>
        <v>G</v>
      </c>
      <c r="H131" t="str">
        <f t="shared" ref="H131:H194" si="5">TEXT(E131,"DDD")</f>
        <v>Fri</v>
      </c>
    </row>
    <row r="132" spans="1:8" x14ac:dyDescent="0.2">
      <c r="A132" t="s">
        <v>279</v>
      </c>
      <c r="B132" t="s">
        <v>280</v>
      </c>
      <c r="C132" t="s">
        <v>167</v>
      </c>
      <c r="D132">
        <v>35399</v>
      </c>
      <c r="E132" s="1">
        <v>39864</v>
      </c>
      <c r="F132" s="1">
        <v>40140</v>
      </c>
      <c r="G132" t="str">
        <f t="shared" si="4"/>
        <v>S</v>
      </c>
      <c r="H132" t="str">
        <f t="shared" si="5"/>
        <v>Fri</v>
      </c>
    </row>
    <row r="133" spans="1:8" x14ac:dyDescent="0.2">
      <c r="A133" t="s">
        <v>281</v>
      </c>
      <c r="B133" t="s">
        <v>282</v>
      </c>
      <c r="C133" t="s">
        <v>167</v>
      </c>
      <c r="D133">
        <v>57342</v>
      </c>
      <c r="E133" s="1">
        <v>39857</v>
      </c>
      <c r="F133" s="1">
        <v>40140</v>
      </c>
      <c r="G133" t="str">
        <f t="shared" si="4"/>
        <v>B</v>
      </c>
      <c r="H133" t="str">
        <f t="shared" si="5"/>
        <v>Fri</v>
      </c>
    </row>
    <row r="134" spans="1:8" x14ac:dyDescent="0.2">
      <c r="A134" t="s">
        <v>283</v>
      </c>
      <c r="B134" t="s">
        <v>284</v>
      </c>
      <c r="C134" t="s">
        <v>14</v>
      </c>
      <c r="D134">
        <v>16500</v>
      </c>
      <c r="E134" s="1">
        <v>39857</v>
      </c>
      <c r="F134" s="1">
        <v>40140</v>
      </c>
      <c r="G134" t="str">
        <f t="shared" si="4"/>
        <v>P</v>
      </c>
      <c r="H134" t="str">
        <f t="shared" si="5"/>
        <v>Fri</v>
      </c>
    </row>
    <row r="135" spans="1:8" x14ac:dyDescent="0.2">
      <c r="A135" t="s">
        <v>285</v>
      </c>
      <c r="B135" t="s">
        <v>286</v>
      </c>
      <c r="C135" t="s">
        <v>33</v>
      </c>
      <c r="D135">
        <v>34563</v>
      </c>
      <c r="E135" s="1">
        <v>39857</v>
      </c>
      <c r="F135" s="1">
        <v>40140</v>
      </c>
      <c r="G135" t="str">
        <f t="shared" si="4"/>
        <v>C</v>
      </c>
      <c r="H135" t="str">
        <f t="shared" si="5"/>
        <v>Fri</v>
      </c>
    </row>
    <row r="136" spans="1:8" x14ac:dyDescent="0.2">
      <c r="A136" t="s">
        <v>287</v>
      </c>
      <c r="B136" t="s">
        <v>288</v>
      </c>
      <c r="C136" t="s">
        <v>289</v>
      </c>
      <c r="D136">
        <v>5431</v>
      </c>
      <c r="E136" s="1">
        <v>39857</v>
      </c>
      <c r="F136" s="1">
        <v>40140</v>
      </c>
      <c r="G136" t="str">
        <f t="shared" si="4"/>
        <v>L</v>
      </c>
      <c r="H136" t="str">
        <f t="shared" si="5"/>
        <v>Fri</v>
      </c>
    </row>
    <row r="137" spans="1:8" x14ac:dyDescent="0.2">
      <c r="A137" t="s">
        <v>290</v>
      </c>
      <c r="B137" t="s">
        <v>291</v>
      </c>
      <c r="C137" t="s">
        <v>20</v>
      </c>
      <c r="D137">
        <v>22574</v>
      </c>
      <c r="E137" s="1">
        <v>39850</v>
      </c>
      <c r="F137" s="1">
        <v>40140</v>
      </c>
      <c r="G137" t="str">
        <f t="shared" si="4"/>
        <v>M</v>
      </c>
      <c r="H137" t="str">
        <f t="shared" si="5"/>
        <v>Fri</v>
      </c>
    </row>
    <row r="138" spans="1:8" x14ac:dyDescent="0.2">
      <c r="A138" t="s">
        <v>292</v>
      </c>
      <c r="B138" t="s">
        <v>293</v>
      </c>
      <c r="C138" t="s">
        <v>20</v>
      </c>
      <c r="D138">
        <v>23124</v>
      </c>
      <c r="E138" s="1">
        <v>39850</v>
      </c>
      <c r="F138" s="1">
        <v>40140</v>
      </c>
      <c r="G138" t="str">
        <f t="shared" si="4"/>
        <v>C</v>
      </c>
      <c r="H138" t="str">
        <f t="shared" si="5"/>
        <v>Fri</v>
      </c>
    </row>
    <row r="139" spans="1:8" x14ac:dyDescent="0.2">
      <c r="A139" t="s">
        <v>294</v>
      </c>
      <c r="B139" t="s">
        <v>295</v>
      </c>
      <c r="C139" t="s">
        <v>36</v>
      </c>
      <c r="D139">
        <v>57017</v>
      </c>
      <c r="E139" s="1">
        <v>39850</v>
      </c>
      <c r="F139" s="1">
        <v>40140</v>
      </c>
      <c r="G139" t="str">
        <f t="shared" si="4"/>
        <v>M</v>
      </c>
      <c r="H139" t="str">
        <f t="shared" si="5"/>
        <v>Fri</v>
      </c>
    </row>
    <row r="140" spans="1:8" x14ac:dyDescent="0.2">
      <c r="A140" t="s">
        <v>296</v>
      </c>
      <c r="B140" t="s">
        <v>297</v>
      </c>
      <c r="C140" t="s">
        <v>33</v>
      </c>
      <c r="D140">
        <v>26538</v>
      </c>
      <c r="E140" s="1">
        <v>39843</v>
      </c>
      <c r="F140" s="1">
        <v>40140</v>
      </c>
      <c r="G140" t="str">
        <f t="shared" si="4"/>
        <v>O</v>
      </c>
      <c r="H140" t="str">
        <f t="shared" si="5"/>
        <v>Fri</v>
      </c>
    </row>
    <row r="141" spans="1:8" x14ac:dyDescent="0.2">
      <c r="A141" t="s">
        <v>298</v>
      </c>
      <c r="B141" t="s">
        <v>299</v>
      </c>
      <c r="C141" t="s">
        <v>146</v>
      </c>
      <c r="D141">
        <v>30763</v>
      </c>
      <c r="E141" s="1">
        <v>39843</v>
      </c>
      <c r="F141" s="1">
        <v>40140</v>
      </c>
      <c r="G141" t="str">
        <f t="shared" si="4"/>
        <v>C</v>
      </c>
      <c r="H141" t="str">
        <f t="shared" si="5"/>
        <v>Fri</v>
      </c>
    </row>
    <row r="142" spans="1:8" x14ac:dyDescent="0.2">
      <c r="A142" t="s">
        <v>300</v>
      </c>
      <c r="B142" t="s">
        <v>301</v>
      </c>
      <c r="C142" t="s">
        <v>8</v>
      </c>
      <c r="D142">
        <v>58001</v>
      </c>
      <c r="E142" s="1">
        <v>39843</v>
      </c>
      <c r="F142" s="1">
        <v>40140</v>
      </c>
      <c r="G142" t="str">
        <f t="shared" si="4"/>
        <v>S</v>
      </c>
      <c r="H142" t="str">
        <f t="shared" si="5"/>
        <v>Fri</v>
      </c>
    </row>
    <row r="143" spans="1:8" x14ac:dyDescent="0.2">
      <c r="A143" t="s">
        <v>302</v>
      </c>
      <c r="B143" t="s">
        <v>303</v>
      </c>
      <c r="C143" t="s">
        <v>20</v>
      </c>
      <c r="D143">
        <v>33025</v>
      </c>
      <c r="E143" s="1">
        <v>39836</v>
      </c>
      <c r="F143" s="1">
        <v>40140</v>
      </c>
      <c r="G143" t="str">
        <f t="shared" si="4"/>
        <v>R</v>
      </c>
      <c r="H143" t="str">
        <f t="shared" si="5"/>
        <v>Fri</v>
      </c>
    </row>
    <row r="144" spans="1:8" x14ac:dyDescent="0.2">
      <c r="A144" t="s">
        <v>304</v>
      </c>
      <c r="B144" t="s">
        <v>305</v>
      </c>
      <c r="C144" t="s">
        <v>17</v>
      </c>
      <c r="D144">
        <v>34959</v>
      </c>
      <c r="E144" s="1">
        <v>39829</v>
      </c>
      <c r="F144" s="1">
        <v>40140</v>
      </c>
      <c r="G144" t="str">
        <f t="shared" si="4"/>
        <v>V</v>
      </c>
      <c r="H144" t="str">
        <f t="shared" si="5"/>
        <v>Fri</v>
      </c>
    </row>
    <row r="145" spans="1:8" x14ac:dyDescent="0.2">
      <c r="A145" t="s">
        <v>306</v>
      </c>
      <c r="B145" t="s">
        <v>307</v>
      </c>
      <c r="C145" t="s">
        <v>14</v>
      </c>
      <c r="D145">
        <v>19733</v>
      </c>
      <c r="E145" s="1">
        <v>39829</v>
      </c>
      <c r="F145" s="1">
        <v>40140</v>
      </c>
      <c r="G145" t="str">
        <f t="shared" si="4"/>
        <v>B</v>
      </c>
      <c r="H145" t="str">
        <f t="shared" si="5"/>
        <v>Fri</v>
      </c>
    </row>
    <row r="146" spans="1:8" x14ac:dyDescent="0.2">
      <c r="A146" t="s">
        <v>308</v>
      </c>
      <c r="B146" t="s">
        <v>309</v>
      </c>
      <c r="C146" t="s">
        <v>79</v>
      </c>
      <c r="D146">
        <v>11568</v>
      </c>
      <c r="E146" s="1">
        <v>39794</v>
      </c>
      <c r="F146" s="1">
        <v>40140</v>
      </c>
      <c r="G146" t="str">
        <f t="shared" si="4"/>
        <v>S</v>
      </c>
      <c r="H146" t="str">
        <f t="shared" si="5"/>
        <v>Fri</v>
      </c>
    </row>
    <row r="147" spans="1:8" x14ac:dyDescent="0.2">
      <c r="A147" t="s">
        <v>310</v>
      </c>
      <c r="B147" t="s">
        <v>311</v>
      </c>
      <c r="C147" t="s">
        <v>36</v>
      </c>
      <c r="D147">
        <v>35379</v>
      </c>
      <c r="E147" s="1">
        <v>39794</v>
      </c>
      <c r="F147" s="1">
        <v>40140</v>
      </c>
      <c r="G147" t="str">
        <f t="shared" si="4"/>
        <v>D</v>
      </c>
      <c r="H147" t="str">
        <f t="shared" si="5"/>
        <v>Fri</v>
      </c>
    </row>
    <row r="148" spans="1:8" x14ac:dyDescent="0.2">
      <c r="A148" t="s">
        <v>312</v>
      </c>
      <c r="B148" t="s">
        <v>313</v>
      </c>
      <c r="C148" t="s">
        <v>36</v>
      </c>
      <c r="D148">
        <v>34301</v>
      </c>
      <c r="E148" s="1">
        <v>39787</v>
      </c>
      <c r="F148" s="1">
        <v>40140</v>
      </c>
      <c r="G148" t="str">
        <f t="shared" si="4"/>
        <v>J</v>
      </c>
      <c r="H148" t="str">
        <f t="shared" si="5"/>
        <v>Fri</v>
      </c>
    </row>
    <row r="149" spans="1:8" x14ac:dyDescent="0.2">
      <c r="A149" t="s">
        <v>314</v>
      </c>
      <c r="B149" t="s">
        <v>315</v>
      </c>
      <c r="C149" t="s">
        <v>20</v>
      </c>
      <c r="D149">
        <v>28344</v>
      </c>
      <c r="E149" s="1">
        <v>39773</v>
      </c>
      <c r="F149" s="1">
        <v>40140</v>
      </c>
      <c r="G149" t="str">
        <f t="shared" si="4"/>
        <v>P</v>
      </c>
      <c r="H149" t="str">
        <f t="shared" si="5"/>
        <v>Fri</v>
      </c>
    </row>
    <row r="150" spans="1:8" x14ac:dyDescent="0.2">
      <c r="A150" t="s">
        <v>316</v>
      </c>
      <c r="B150" t="s">
        <v>317</v>
      </c>
      <c r="C150" t="s">
        <v>20</v>
      </c>
      <c r="D150">
        <v>30968</v>
      </c>
      <c r="E150" s="1">
        <v>39773</v>
      </c>
      <c r="F150" s="1">
        <v>40140</v>
      </c>
      <c r="G150" t="str">
        <f t="shared" si="4"/>
        <v>N</v>
      </c>
      <c r="H150" t="str">
        <f t="shared" si="5"/>
        <v>Fri</v>
      </c>
    </row>
    <row r="151" spans="1:8" x14ac:dyDescent="0.2">
      <c r="A151" t="s">
        <v>318</v>
      </c>
      <c r="B151" t="s">
        <v>319</v>
      </c>
      <c r="C151" t="s">
        <v>36</v>
      </c>
      <c r="D151">
        <v>16490</v>
      </c>
      <c r="E151" s="1">
        <v>39773</v>
      </c>
      <c r="F151" s="1">
        <v>40140</v>
      </c>
      <c r="G151" t="str">
        <f t="shared" si="4"/>
        <v>L</v>
      </c>
      <c r="H151" t="str">
        <f t="shared" si="5"/>
        <v>Fri</v>
      </c>
    </row>
    <row r="152" spans="1:8" x14ac:dyDescent="0.2">
      <c r="A152" t="s">
        <v>320</v>
      </c>
      <c r="B152" t="s">
        <v>88</v>
      </c>
      <c r="C152" t="s">
        <v>20</v>
      </c>
      <c r="D152">
        <v>23595</v>
      </c>
      <c r="E152" s="1">
        <v>39759</v>
      </c>
      <c r="F152" s="1">
        <v>40140</v>
      </c>
      <c r="G152" t="str">
        <f t="shared" si="4"/>
        <v>L</v>
      </c>
      <c r="H152" t="str">
        <f t="shared" si="5"/>
        <v>Fri</v>
      </c>
    </row>
    <row r="153" spans="1:8" x14ac:dyDescent="0.2">
      <c r="A153" t="s">
        <v>321</v>
      </c>
      <c r="B153" t="s">
        <v>78</v>
      </c>
      <c r="C153" t="s">
        <v>79</v>
      </c>
      <c r="D153">
        <v>26870</v>
      </c>
      <c r="E153" s="1">
        <v>39759</v>
      </c>
      <c r="F153" s="1">
        <v>40140</v>
      </c>
      <c r="G153" t="str">
        <f t="shared" si="4"/>
        <v>H</v>
      </c>
      <c r="H153" t="str">
        <f t="shared" si="5"/>
        <v>Fri</v>
      </c>
    </row>
    <row r="154" spans="1:8" x14ac:dyDescent="0.2">
      <c r="A154" t="s">
        <v>322</v>
      </c>
      <c r="B154" t="s">
        <v>103</v>
      </c>
      <c r="C154" t="s">
        <v>33</v>
      </c>
      <c r="D154">
        <v>57930</v>
      </c>
      <c r="E154" s="1">
        <v>39752</v>
      </c>
      <c r="F154" s="1">
        <v>40140</v>
      </c>
      <c r="G154" t="str">
        <f t="shared" si="4"/>
        <v>B</v>
      </c>
      <c r="H154" t="str">
        <f t="shared" si="5"/>
        <v>Fri</v>
      </c>
    </row>
    <row r="155" spans="1:8" x14ac:dyDescent="0.2">
      <c r="A155" t="s">
        <v>323</v>
      </c>
      <c r="B155" t="s">
        <v>191</v>
      </c>
      <c r="C155" t="s">
        <v>36</v>
      </c>
      <c r="D155">
        <v>58241</v>
      </c>
      <c r="E155" s="1">
        <v>39745</v>
      </c>
      <c r="F155" s="1">
        <v>40140</v>
      </c>
      <c r="G155" t="str">
        <f t="shared" si="4"/>
        <v>A</v>
      </c>
      <c r="H155" t="str">
        <f t="shared" si="5"/>
        <v>Fri</v>
      </c>
    </row>
    <row r="156" spans="1:8" x14ac:dyDescent="0.2">
      <c r="A156" t="s">
        <v>324</v>
      </c>
      <c r="B156" t="s">
        <v>325</v>
      </c>
      <c r="C156" t="s">
        <v>14</v>
      </c>
      <c r="D156">
        <v>13789</v>
      </c>
      <c r="E156" s="1">
        <v>39731</v>
      </c>
      <c r="F156" s="1">
        <v>40140</v>
      </c>
      <c r="G156" t="str">
        <f t="shared" si="4"/>
        <v>E</v>
      </c>
      <c r="H156" t="str">
        <f t="shared" si="5"/>
        <v>Fri</v>
      </c>
    </row>
    <row r="157" spans="1:8" x14ac:dyDescent="0.2">
      <c r="A157" t="s">
        <v>326</v>
      </c>
      <c r="B157" t="s">
        <v>327</v>
      </c>
      <c r="C157" t="s">
        <v>30</v>
      </c>
      <c r="D157">
        <v>57654</v>
      </c>
      <c r="E157" s="1">
        <v>39731</v>
      </c>
      <c r="F157" s="1">
        <v>40140</v>
      </c>
      <c r="G157" t="str">
        <f t="shared" si="4"/>
        <v>N</v>
      </c>
      <c r="H157" t="str">
        <f t="shared" si="5"/>
        <v>Fri</v>
      </c>
    </row>
    <row r="158" spans="1:8" x14ac:dyDescent="0.2">
      <c r="A158" t="s">
        <v>328</v>
      </c>
      <c r="B158" t="s">
        <v>276</v>
      </c>
      <c r="C158" t="s">
        <v>156</v>
      </c>
      <c r="D158">
        <v>32633</v>
      </c>
      <c r="E158" s="1">
        <v>39716</v>
      </c>
      <c r="F158" s="1">
        <v>40140</v>
      </c>
      <c r="G158" t="str">
        <f t="shared" si="4"/>
        <v>H</v>
      </c>
      <c r="H158" t="str">
        <f t="shared" si="5"/>
        <v>Thu</v>
      </c>
    </row>
    <row r="159" spans="1:8" x14ac:dyDescent="0.2">
      <c r="A159" t="s">
        <v>329</v>
      </c>
      <c r="B159" t="s">
        <v>330</v>
      </c>
      <c r="C159" t="s">
        <v>8</v>
      </c>
      <c r="D159">
        <v>32633</v>
      </c>
      <c r="E159" s="1">
        <v>39716</v>
      </c>
      <c r="F159" s="1">
        <v>40140</v>
      </c>
      <c r="G159" t="str">
        <f t="shared" si="4"/>
        <v>P</v>
      </c>
      <c r="H159" t="str">
        <f t="shared" si="5"/>
        <v>Thu</v>
      </c>
    </row>
    <row r="160" spans="1:8" x14ac:dyDescent="0.2">
      <c r="A160" t="s">
        <v>331</v>
      </c>
      <c r="B160" t="s">
        <v>332</v>
      </c>
      <c r="C160" t="s">
        <v>333</v>
      </c>
      <c r="D160">
        <v>6782</v>
      </c>
      <c r="E160" s="1">
        <v>39710</v>
      </c>
      <c r="F160" s="1">
        <v>40140</v>
      </c>
      <c r="G160" t="str">
        <f t="shared" si="4"/>
        <v>N</v>
      </c>
      <c r="H160" t="str">
        <f t="shared" si="5"/>
        <v>Fri</v>
      </c>
    </row>
    <row r="161" spans="1:8" x14ac:dyDescent="0.2">
      <c r="A161" t="s">
        <v>334</v>
      </c>
      <c r="B161" t="s">
        <v>276</v>
      </c>
      <c r="C161" t="s">
        <v>156</v>
      </c>
      <c r="D161">
        <v>34194</v>
      </c>
      <c r="E161" s="1">
        <v>39696</v>
      </c>
      <c r="F161" s="1">
        <v>40140</v>
      </c>
      <c r="G161" t="str">
        <f t="shared" si="4"/>
        <v>H</v>
      </c>
      <c r="H161" t="str">
        <f t="shared" si="5"/>
        <v>Fri</v>
      </c>
    </row>
    <row r="162" spans="1:8" x14ac:dyDescent="0.2">
      <c r="A162" t="s">
        <v>177</v>
      </c>
      <c r="B162" t="s">
        <v>191</v>
      </c>
      <c r="C162" t="s">
        <v>36</v>
      </c>
      <c r="D162">
        <v>35469</v>
      </c>
      <c r="E162" s="1">
        <v>39689</v>
      </c>
      <c r="F162" s="1">
        <v>40140</v>
      </c>
      <c r="G162" t="str">
        <f t="shared" si="4"/>
        <v>A</v>
      </c>
      <c r="H162" t="str">
        <f t="shared" si="5"/>
        <v>Fri</v>
      </c>
    </row>
    <row r="163" spans="1:8" x14ac:dyDescent="0.2">
      <c r="A163" t="s">
        <v>335</v>
      </c>
      <c r="B163" t="s">
        <v>336</v>
      </c>
      <c r="C163" t="s">
        <v>39</v>
      </c>
      <c r="D163">
        <v>22728</v>
      </c>
      <c r="E163" s="1">
        <v>39682</v>
      </c>
      <c r="F163" s="1">
        <v>40140</v>
      </c>
      <c r="G163" t="str">
        <f t="shared" si="4"/>
        <v>T</v>
      </c>
      <c r="H163" t="str">
        <f t="shared" si="5"/>
        <v>Fri</v>
      </c>
    </row>
    <row r="164" spans="1:8" x14ac:dyDescent="0.2">
      <c r="A164" t="s">
        <v>337</v>
      </c>
      <c r="B164" t="s">
        <v>103</v>
      </c>
      <c r="C164" t="s">
        <v>33</v>
      </c>
      <c r="D164">
        <v>57523</v>
      </c>
      <c r="E164" s="1">
        <v>39661</v>
      </c>
      <c r="F164" s="1">
        <v>40140</v>
      </c>
      <c r="G164" t="str">
        <f t="shared" si="4"/>
        <v>B</v>
      </c>
      <c r="H164" t="str">
        <f t="shared" si="5"/>
        <v>Fri</v>
      </c>
    </row>
    <row r="165" spans="1:8" x14ac:dyDescent="0.2">
      <c r="A165" t="s">
        <v>338</v>
      </c>
      <c r="B165" t="s">
        <v>317</v>
      </c>
      <c r="C165" t="s">
        <v>20</v>
      </c>
      <c r="D165">
        <v>57961</v>
      </c>
      <c r="E165" s="1">
        <v>39654</v>
      </c>
      <c r="F165" s="1">
        <v>40140</v>
      </c>
      <c r="G165" t="str">
        <f t="shared" si="4"/>
        <v>N</v>
      </c>
      <c r="H165" t="str">
        <f t="shared" si="5"/>
        <v>Fri</v>
      </c>
    </row>
    <row r="166" spans="1:8" x14ac:dyDescent="0.2">
      <c r="A166" t="s">
        <v>339</v>
      </c>
      <c r="B166" t="s">
        <v>340</v>
      </c>
      <c r="C166" t="s">
        <v>156</v>
      </c>
      <c r="D166">
        <v>27011</v>
      </c>
      <c r="E166" s="1">
        <v>39654</v>
      </c>
      <c r="F166" s="1">
        <v>40140</v>
      </c>
      <c r="G166" t="str">
        <f t="shared" si="4"/>
        <v>R</v>
      </c>
      <c r="H166" t="str">
        <f t="shared" si="5"/>
        <v>Fri</v>
      </c>
    </row>
    <row r="167" spans="1:8" x14ac:dyDescent="0.2">
      <c r="A167" t="s">
        <v>341</v>
      </c>
      <c r="B167" t="s">
        <v>342</v>
      </c>
      <c r="C167" t="s">
        <v>20</v>
      </c>
      <c r="D167">
        <v>29730</v>
      </c>
      <c r="E167" s="1">
        <v>39640</v>
      </c>
      <c r="F167" s="1">
        <v>40140</v>
      </c>
      <c r="G167" t="str">
        <f t="shared" si="4"/>
        <v>P</v>
      </c>
      <c r="H167" t="str">
        <f t="shared" si="5"/>
        <v>Fri</v>
      </c>
    </row>
    <row r="168" spans="1:8" x14ac:dyDescent="0.2">
      <c r="A168" t="s">
        <v>343</v>
      </c>
      <c r="B168" t="s">
        <v>344</v>
      </c>
      <c r="C168" t="s">
        <v>11</v>
      </c>
      <c r="D168">
        <v>12736</v>
      </c>
      <c r="E168" s="1">
        <v>39598</v>
      </c>
      <c r="F168" s="1">
        <v>40140</v>
      </c>
      <c r="G168" t="str">
        <f t="shared" si="4"/>
        <v>S</v>
      </c>
      <c r="H168" t="str">
        <f t="shared" si="5"/>
        <v>Fri</v>
      </c>
    </row>
    <row r="169" spans="1:8" x14ac:dyDescent="0.2">
      <c r="A169" t="s">
        <v>345</v>
      </c>
      <c r="B169" t="s">
        <v>346</v>
      </c>
      <c r="C169" t="s">
        <v>347</v>
      </c>
      <c r="D169">
        <v>33901</v>
      </c>
      <c r="E169" s="1">
        <v>39577</v>
      </c>
      <c r="F169" s="1">
        <v>40140</v>
      </c>
      <c r="G169" t="str">
        <f t="shared" si="4"/>
        <v>B</v>
      </c>
      <c r="H169" t="str">
        <f t="shared" si="5"/>
        <v>Fri</v>
      </c>
    </row>
    <row r="170" spans="1:8" x14ac:dyDescent="0.2">
      <c r="A170" t="s">
        <v>348</v>
      </c>
      <c r="B170" t="s">
        <v>349</v>
      </c>
      <c r="C170" t="s">
        <v>70</v>
      </c>
      <c r="D170">
        <v>1971</v>
      </c>
      <c r="E170" s="1">
        <v>39514</v>
      </c>
      <c r="F170" s="1">
        <v>40140</v>
      </c>
      <c r="G170" t="str">
        <f t="shared" si="4"/>
        <v>H</v>
      </c>
      <c r="H170" t="str">
        <f t="shared" si="5"/>
        <v>Fri</v>
      </c>
    </row>
    <row r="171" spans="1:8" x14ac:dyDescent="0.2">
      <c r="A171" t="s">
        <v>350</v>
      </c>
      <c r="B171" t="s">
        <v>139</v>
      </c>
      <c r="C171" t="s">
        <v>70</v>
      </c>
      <c r="D171">
        <v>24660</v>
      </c>
      <c r="E171" s="1">
        <v>39472</v>
      </c>
      <c r="F171" s="1">
        <v>40140</v>
      </c>
      <c r="G171" t="str">
        <f t="shared" si="4"/>
        <v>K</v>
      </c>
      <c r="H171" t="str">
        <f t="shared" si="5"/>
        <v>Fri</v>
      </c>
    </row>
    <row r="172" spans="1:8" x14ac:dyDescent="0.2">
      <c r="A172" t="s">
        <v>351</v>
      </c>
      <c r="B172" t="s">
        <v>352</v>
      </c>
      <c r="C172" t="s">
        <v>52</v>
      </c>
      <c r="D172">
        <v>16848</v>
      </c>
      <c r="E172" s="1">
        <v>39359</v>
      </c>
      <c r="F172" s="1">
        <v>40140</v>
      </c>
      <c r="G172" t="str">
        <f t="shared" si="4"/>
        <v>L</v>
      </c>
      <c r="H172" t="str">
        <f t="shared" si="5"/>
        <v>Thu</v>
      </c>
    </row>
    <row r="173" spans="1:8" x14ac:dyDescent="0.2">
      <c r="A173" t="s">
        <v>353</v>
      </c>
      <c r="B173" t="s">
        <v>191</v>
      </c>
      <c r="C173" t="s">
        <v>36</v>
      </c>
      <c r="D173">
        <v>32575</v>
      </c>
      <c r="E173" s="1">
        <v>39353</v>
      </c>
      <c r="F173" s="1">
        <v>40140</v>
      </c>
      <c r="G173" t="str">
        <f t="shared" si="4"/>
        <v>A</v>
      </c>
      <c r="H173" t="str">
        <f t="shared" si="5"/>
        <v>Fri</v>
      </c>
    </row>
    <row r="174" spans="1:8" x14ac:dyDescent="0.2">
      <c r="A174" t="s">
        <v>354</v>
      </c>
      <c r="B174" t="s">
        <v>163</v>
      </c>
      <c r="C174" t="s">
        <v>164</v>
      </c>
      <c r="D174">
        <v>35353</v>
      </c>
      <c r="E174" s="1">
        <v>39115</v>
      </c>
      <c r="F174" s="1">
        <v>40140</v>
      </c>
      <c r="G174" t="str">
        <f t="shared" si="4"/>
        <v>P</v>
      </c>
      <c r="H174" t="str">
        <f t="shared" si="5"/>
        <v>Fri</v>
      </c>
    </row>
    <row r="175" spans="1:8" x14ac:dyDescent="0.2">
      <c r="A175" t="s">
        <v>355</v>
      </c>
      <c r="B175" t="s">
        <v>356</v>
      </c>
      <c r="C175" t="s">
        <v>8</v>
      </c>
      <c r="D175">
        <v>1249</v>
      </c>
      <c r="E175" s="1">
        <v>38163</v>
      </c>
      <c r="F175" s="1">
        <v>39547</v>
      </c>
      <c r="G175" t="str">
        <f t="shared" si="4"/>
        <v>E</v>
      </c>
      <c r="H175" t="str">
        <f t="shared" si="5"/>
        <v>Fri</v>
      </c>
    </row>
    <row r="176" spans="1:8" x14ac:dyDescent="0.2">
      <c r="A176" t="s">
        <v>357</v>
      </c>
      <c r="B176" t="s">
        <v>358</v>
      </c>
      <c r="C176" t="s">
        <v>196</v>
      </c>
      <c r="D176">
        <v>26778</v>
      </c>
      <c r="E176" s="1">
        <v>38065</v>
      </c>
      <c r="F176" s="1">
        <v>39547</v>
      </c>
      <c r="G176" t="str">
        <f t="shared" si="4"/>
        <v>W</v>
      </c>
      <c r="H176" t="str">
        <f t="shared" si="5"/>
        <v>Fri</v>
      </c>
    </row>
    <row r="177" spans="1:8" x14ac:dyDescent="0.2">
      <c r="A177" t="s">
        <v>359</v>
      </c>
      <c r="B177" t="s">
        <v>360</v>
      </c>
      <c r="C177" t="s">
        <v>33</v>
      </c>
      <c r="D177">
        <v>26838</v>
      </c>
      <c r="E177" s="1">
        <v>38058</v>
      </c>
      <c r="F177" s="1">
        <v>40140</v>
      </c>
      <c r="G177" t="str">
        <f t="shared" si="4"/>
        <v>T</v>
      </c>
      <c r="H177" t="str">
        <f t="shared" si="5"/>
        <v>Fri</v>
      </c>
    </row>
    <row r="178" spans="1:8" x14ac:dyDescent="0.2">
      <c r="A178" t="s">
        <v>361</v>
      </c>
      <c r="B178" t="s">
        <v>362</v>
      </c>
      <c r="C178" t="s">
        <v>174</v>
      </c>
      <c r="D178">
        <v>31330</v>
      </c>
      <c r="E178" s="1">
        <v>38031</v>
      </c>
      <c r="F178" s="1">
        <v>39547</v>
      </c>
      <c r="G178" t="str">
        <f t="shared" si="4"/>
        <v>N</v>
      </c>
      <c r="H178" t="str">
        <f t="shared" si="5"/>
        <v>Sat</v>
      </c>
    </row>
    <row r="179" spans="1:8" x14ac:dyDescent="0.2">
      <c r="A179" t="s">
        <v>363</v>
      </c>
      <c r="B179" t="s">
        <v>364</v>
      </c>
      <c r="C179" t="s">
        <v>164</v>
      </c>
      <c r="D179">
        <v>27203</v>
      </c>
      <c r="E179" s="1">
        <v>37939</v>
      </c>
      <c r="F179" s="1">
        <v>38555</v>
      </c>
      <c r="G179" t="str">
        <f t="shared" si="4"/>
        <v>P</v>
      </c>
      <c r="H179" t="str">
        <f t="shared" si="5"/>
        <v>Fri</v>
      </c>
    </row>
    <row r="180" spans="1:8" x14ac:dyDescent="0.2">
      <c r="A180" t="s">
        <v>365</v>
      </c>
      <c r="B180" t="s">
        <v>366</v>
      </c>
      <c r="C180" t="s">
        <v>101</v>
      </c>
      <c r="D180">
        <v>11639</v>
      </c>
      <c r="E180" s="1">
        <v>37750</v>
      </c>
      <c r="F180" s="1">
        <v>40031</v>
      </c>
      <c r="G180" t="str">
        <f t="shared" si="4"/>
        <v>B</v>
      </c>
      <c r="H180" t="str">
        <f t="shared" si="5"/>
        <v>Fri</v>
      </c>
    </row>
    <row r="181" spans="1:8" x14ac:dyDescent="0.2">
      <c r="A181" t="s">
        <v>367</v>
      </c>
      <c r="B181" t="s">
        <v>368</v>
      </c>
      <c r="C181" t="s">
        <v>20</v>
      </c>
      <c r="D181">
        <v>27094</v>
      </c>
      <c r="E181" s="1">
        <v>37659</v>
      </c>
      <c r="F181" s="1">
        <v>39741</v>
      </c>
      <c r="G181" t="str">
        <f t="shared" si="4"/>
        <v>T</v>
      </c>
      <c r="H181" t="str">
        <f t="shared" si="5"/>
        <v>Fri</v>
      </c>
    </row>
    <row r="182" spans="1:8" x14ac:dyDescent="0.2">
      <c r="A182" t="s">
        <v>369</v>
      </c>
      <c r="B182" t="s">
        <v>370</v>
      </c>
      <c r="C182" t="s">
        <v>371</v>
      </c>
      <c r="D182">
        <v>16445</v>
      </c>
      <c r="E182" s="1">
        <v>37607</v>
      </c>
      <c r="F182" s="1">
        <v>38280</v>
      </c>
      <c r="G182" t="str">
        <f t="shared" si="4"/>
        <v>C</v>
      </c>
      <c r="H182" t="str">
        <f t="shared" si="5"/>
        <v>Tue</v>
      </c>
    </row>
    <row r="183" spans="1:8" x14ac:dyDescent="0.2">
      <c r="A183" t="s">
        <v>372</v>
      </c>
      <c r="B183" t="s">
        <v>373</v>
      </c>
      <c r="C183" t="s">
        <v>374</v>
      </c>
      <c r="D183">
        <v>9961</v>
      </c>
      <c r="E183" s="1">
        <v>37568</v>
      </c>
      <c r="F183" s="1">
        <v>38429</v>
      </c>
      <c r="G183" t="str">
        <f t="shared" si="4"/>
        <v>A</v>
      </c>
      <c r="H183" t="str">
        <f t="shared" si="5"/>
        <v>Fri</v>
      </c>
    </row>
    <row r="184" spans="1:8" x14ac:dyDescent="0.2">
      <c r="A184" t="s">
        <v>375</v>
      </c>
      <c r="B184" t="s">
        <v>35</v>
      </c>
      <c r="C184" t="s">
        <v>36</v>
      </c>
      <c r="D184">
        <v>33784</v>
      </c>
      <c r="E184" s="1">
        <v>37529</v>
      </c>
      <c r="F184" s="1">
        <v>38971</v>
      </c>
      <c r="G184" t="str">
        <f t="shared" si="4"/>
        <v>A</v>
      </c>
      <c r="H184" t="str">
        <f t="shared" si="5"/>
        <v>Mon</v>
      </c>
    </row>
    <row r="185" spans="1:8" x14ac:dyDescent="0.2">
      <c r="A185" t="s">
        <v>376</v>
      </c>
      <c r="B185" t="s">
        <v>85</v>
      </c>
      <c r="C185" t="s">
        <v>14</v>
      </c>
      <c r="D185">
        <v>29355</v>
      </c>
      <c r="E185" s="1">
        <v>37434</v>
      </c>
      <c r="F185" s="1">
        <v>39547</v>
      </c>
      <c r="G185" t="str">
        <f t="shared" si="4"/>
        <v>C</v>
      </c>
      <c r="H185" t="str">
        <f t="shared" si="5"/>
        <v>Thu</v>
      </c>
    </row>
    <row r="186" spans="1:8" x14ac:dyDescent="0.2">
      <c r="A186" t="s">
        <v>377</v>
      </c>
      <c r="B186" t="s">
        <v>378</v>
      </c>
      <c r="C186" t="s">
        <v>379</v>
      </c>
      <c r="D186">
        <v>19183</v>
      </c>
      <c r="E186" s="1">
        <v>37433</v>
      </c>
      <c r="F186" s="1">
        <v>40140</v>
      </c>
      <c r="G186" t="str">
        <f t="shared" si="4"/>
        <v>S</v>
      </c>
      <c r="H186" t="str">
        <f t="shared" si="5"/>
        <v>Wed</v>
      </c>
    </row>
    <row r="187" spans="1:8" x14ac:dyDescent="0.2">
      <c r="A187" t="s">
        <v>380</v>
      </c>
      <c r="B187" t="s">
        <v>381</v>
      </c>
      <c r="C187" t="s">
        <v>30</v>
      </c>
      <c r="D187">
        <v>34979</v>
      </c>
      <c r="E187" s="1">
        <v>37343</v>
      </c>
      <c r="F187" s="1">
        <v>38429</v>
      </c>
      <c r="G187" t="str">
        <f t="shared" si="4"/>
        <v>S</v>
      </c>
      <c r="H187" t="str">
        <f t="shared" si="5"/>
        <v>Thu</v>
      </c>
    </row>
    <row r="188" spans="1:8" x14ac:dyDescent="0.2">
      <c r="A188" t="s">
        <v>382</v>
      </c>
      <c r="B188" t="s">
        <v>383</v>
      </c>
      <c r="C188" t="s">
        <v>33</v>
      </c>
      <c r="D188">
        <v>26652</v>
      </c>
      <c r="E188" s="1">
        <v>37316</v>
      </c>
      <c r="F188" s="1">
        <v>39547</v>
      </c>
      <c r="G188" t="str">
        <f t="shared" si="4"/>
        <v>B</v>
      </c>
      <c r="H188" t="str">
        <f t="shared" si="5"/>
        <v>Fri</v>
      </c>
    </row>
    <row r="189" spans="1:8" x14ac:dyDescent="0.2">
      <c r="A189" t="s">
        <v>384</v>
      </c>
      <c r="B189" t="s">
        <v>94</v>
      </c>
      <c r="C189" t="s">
        <v>42</v>
      </c>
      <c r="D189">
        <v>22314</v>
      </c>
      <c r="E189" s="1">
        <v>37294</v>
      </c>
      <c r="F189" s="1">
        <v>40140</v>
      </c>
      <c r="G189" t="str">
        <f t="shared" si="4"/>
        <v>P</v>
      </c>
      <c r="H189" t="str">
        <f t="shared" si="5"/>
        <v>Thu</v>
      </c>
    </row>
    <row r="190" spans="1:8" x14ac:dyDescent="0.2">
      <c r="A190" t="s">
        <v>385</v>
      </c>
      <c r="B190" t="s">
        <v>386</v>
      </c>
      <c r="C190" t="s">
        <v>52</v>
      </c>
      <c r="D190">
        <v>8966</v>
      </c>
      <c r="E190" s="1">
        <v>37288</v>
      </c>
      <c r="F190" s="1">
        <v>40140</v>
      </c>
      <c r="G190" t="str">
        <f t="shared" si="4"/>
        <v>O</v>
      </c>
      <c r="H190" t="str">
        <f t="shared" si="5"/>
        <v>Fri</v>
      </c>
    </row>
    <row r="191" spans="1:8" x14ac:dyDescent="0.2">
      <c r="A191" t="s">
        <v>387</v>
      </c>
      <c r="B191" t="s">
        <v>388</v>
      </c>
      <c r="C191" t="s">
        <v>79</v>
      </c>
      <c r="D191">
        <v>22002</v>
      </c>
      <c r="E191" s="1">
        <v>37274</v>
      </c>
      <c r="F191" s="1">
        <v>37931</v>
      </c>
      <c r="G191" t="str">
        <f t="shared" si="4"/>
        <v>S</v>
      </c>
      <c r="H191" t="str">
        <f t="shared" si="5"/>
        <v>Fri</v>
      </c>
    </row>
    <row r="192" spans="1:8" x14ac:dyDescent="0.2">
      <c r="A192" t="s">
        <v>389</v>
      </c>
      <c r="B192" t="s">
        <v>44</v>
      </c>
      <c r="C192" t="s">
        <v>33</v>
      </c>
      <c r="D192">
        <v>24382</v>
      </c>
      <c r="E192" s="1">
        <v>37267</v>
      </c>
      <c r="F192" s="1">
        <v>40140</v>
      </c>
      <c r="G192" t="str">
        <f t="shared" si="4"/>
        <v>M</v>
      </c>
      <c r="H192" t="str">
        <f t="shared" si="5"/>
        <v>Fri</v>
      </c>
    </row>
    <row r="193" spans="1:8" x14ac:dyDescent="0.2">
      <c r="A193" t="s">
        <v>390</v>
      </c>
      <c r="B193" t="s">
        <v>391</v>
      </c>
      <c r="C193" t="s">
        <v>347</v>
      </c>
      <c r="D193">
        <v>34248</v>
      </c>
      <c r="E193" s="1">
        <v>37141</v>
      </c>
      <c r="F193" s="1">
        <v>38027</v>
      </c>
      <c r="G193" t="str">
        <f t="shared" si="4"/>
        <v>G</v>
      </c>
      <c r="H193" t="str">
        <f t="shared" si="5"/>
        <v>Fri</v>
      </c>
    </row>
    <row r="194" spans="1:8" x14ac:dyDescent="0.2">
      <c r="A194" t="s">
        <v>392</v>
      </c>
      <c r="B194" t="s">
        <v>393</v>
      </c>
      <c r="C194" t="s">
        <v>14</v>
      </c>
      <c r="D194">
        <v>32646</v>
      </c>
      <c r="E194" s="1">
        <v>37099</v>
      </c>
      <c r="F194" s="1">
        <v>40140</v>
      </c>
      <c r="G194" t="str">
        <f t="shared" si="4"/>
        <v>H</v>
      </c>
      <c r="H194" t="str">
        <f t="shared" si="5"/>
        <v>Fri</v>
      </c>
    </row>
    <row r="195" spans="1:8" x14ac:dyDescent="0.2">
      <c r="A195" t="s">
        <v>394</v>
      </c>
      <c r="B195" t="s">
        <v>395</v>
      </c>
      <c r="C195" t="s">
        <v>52</v>
      </c>
      <c r="D195">
        <v>6629</v>
      </c>
      <c r="E195" s="1">
        <v>37014</v>
      </c>
      <c r="F195" s="1">
        <v>37578</v>
      </c>
      <c r="G195" t="str">
        <f t="shared" ref="G195:G198" si="6">LEFT(B195,1)</f>
        <v>M</v>
      </c>
      <c r="H195" t="str">
        <f t="shared" ref="H195:H198" si="7">TEXT(E195,"DDD")</f>
        <v>Thu</v>
      </c>
    </row>
    <row r="196" spans="1:8" x14ac:dyDescent="0.2">
      <c r="A196" t="s">
        <v>396</v>
      </c>
      <c r="B196" t="s">
        <v>397</v>
      </c>
      <c r="C196" t="s">
        <v>398</v>
      </c>
      <c r="D196">
        <v>34264</v>
      </c>
      <c r="E196" s="1">
        <v>36924</v>
      </c>
      <c r="F196" s="1">
        <v>37670</v>
      </c>
      <c r="G196" t="str">
        <f t="shared" si="6"/>
        <v>M</v>
      </c>
      <c r="H196" t="str">
        <f t="shared" si="7"/>
        <v>Fri</v>
      </c>
    </row>
    <row r="197" spans="1:8" x14ac:dyDescent="0.2">
      <c r="A197" t="s">
        <v>399</v>
      </c>
      <c r="B197" t="s">
        <v>400</v>
      </c>
      <c r="C197" t="s">
        <v>14</v>
      </c>
      <c r="D197">
        <v>3815</v>
      </c>
      <c r="E197" s="1">
        <v>36874</v>
      </c>
      <c r="F197" s="1">
        <v>38428</v>
      </c>
      <c r="G197" t="str">
        <f t="shared" si="6"/>
        <v>M</v>
      </c>
      <c r="H197" t="str">
        <f t="shared" si="7"/>
        <v>Thu</v>
      </c>
    </row>
    <row r="198" spans="1:8" x14ac:dyDescent="0.2">
      <c r="A198" t="s">
        <v>401</v>
      </c>
      <c r="B198" t="s">
        <v>402</v>
      </c>
      <c r="C198" t="s">
        <v>403</v>
      </c>
      <c r="D198">
        <v>21029</v>
      </c>
      <c r="E198" s="1">
        <v>36812</v>
      </c>
      <c r="F198" s="1">
        <v>38428</v>
      </c>
      <c r="G198" t="str">
        <f t="shared" si="6"/>
        <v>H</v>
      </c>
      <c r="H198" t="str">
        <f t="shared" si="7"/>
        <v>Fri</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workbookViewId="0">
      <selection activeCell="T23" sqref="T23"/>
    </sheetView>
  </sheetViews>
  <sheetFormatPr defaultRowHeight="12.75" x14ac:dyDescent="0.2"/>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Sheet1</vt:lpstr>
      <vt:lpstr>QUE3.</vt:lpstr>
      <vt:lpstr>QUE2</vt:lpstr>
      <vt:lpstr>QUE4</vt:lpstr>
      <vt:lpstr>QUE5</vt:lpstr>
      <vt:lpstr>QUE 6</vt:lpstr>
      <vt:lpstr>QUE7</vt:lpstr>
      <vt:lpstr>QUE9.</vt:lpstr>
      <vt:lpstr>Sheet12</vt:lpstr>
      <vt:lpstr>Review Questions</vt:lpstr>
      <vt:lpstr>QUE8</vt:lpstr>
      <vt:lpstr>QUE10</vt:lpstr>
      <vt:lpstr>banklist Data</vt:lpstr>
      <vt:lpstr>DASHBOARD</vt:lpstr>
      <vt:lpstr>Sheet15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EMMANUEL OTORI</dc:creator>
  <cp:lastModifiedBy>PC User</cp:lastModifiedBy>
  <cp:lastPrinted>2010-02-03T20:27:57Z</cp:lastPrinted>
  <dcterms:created xsi:type="dcterms:W3CDTF">2010-01-25T21:42:44Z</dcterms:created>
  <dcterms:modified xsi:type="dcterms:W3CDTF">2022-05-07T10:23:22Z</dcterms:modified>
</cp:coreProperties>
</file>